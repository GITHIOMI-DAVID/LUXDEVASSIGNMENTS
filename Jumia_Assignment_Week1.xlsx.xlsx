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4.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chaisacco-my.sharepoint.com/personal/david_githiomi_chai-sacco_co_ke/Documents/DATA ANALYSIS/"/>
    </mc:Choice>
  </mc:AlternateContent>
  <xr:revisionPtr revIDLastSave="45" documentId="8_{AE70B385-5829-48CE-B01D-D53F9AA536F6}" xr6:coauthVersionLast="47" xr6:coauthVersionMax="47" xr10:uidLastSave="{1ECD9EF1-2B36-47B1-9C92-4A0DFA45AF06}"/>
  <bookViews>
    <workbookView xWindow="-110" yWindow="-110" windowWidth="19420" windowHeight="10300" activeTab="9" xr2:uid="{6808E7B6-1C2E-4BB7-8A0B-0CD0A6DDEDCC}"/>
  </bookViews>
  <sheets>
    <sheet name="ORIGINAL DATA" sheetId="1" r:id="rId1"/>
    <sheet name="WORKING" sheetId="2" r:id="rId2"/>
    <sheet name="Sheet2" sheetId="5" state="hidden" r:id="rId3"/>
    <sheet name="Descriptive Analysis" sheetId="3" r:id="rId4"/>
    <sheet name="Sheet4" sheetId="7" state="hidden" r:id="rId5"/>
    <sheet name="Sheet6" sheetId="9" state="hidden" r:id="rId6"/>
    <sheet name="Sheet8" sheetId="11" state="hidden" r:id="rId7"/>
    <sheet name="Sheet7" sheetId="10" state="hidden" r:id="rId8"/>
    <sheet name="WORKING (2)" sheetId="6" state="hidden" r:id="rId9"/>
    <sheet name="DASHBOARD" sheetId="12" r:id="rId10"/>
  </sheets>
  <definedNames>
    <definedName name="_xlnm._FilterDatabase" localSheetId="1" hidden="1">WORKING!$A$1:$G$110</definedName>
    <definedName name="_xlnm._FilterDatabase" localSheetId="8" hidden="1">'WORKING (2)'!$A$1:$G$110</definedName>
    <definedName name="Slicer_Discount__category">#N/A</definedName>
    <definedName name="Slicer_Rating_category">#N/A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5" i="6" l="1"/>
  <c r="H95" i="6"/>
  <c r="D95" i="6"/>
  <c r="I72" i="6"/>
  <c r="H72" i="6"/>
  <c r="D72" i="6"/>
  <c r="I109" i="6"/>
  <c r="H109" i="6"/>
  <c r="D109" i="6"/>
  <c r="I103" i="6"/>
  <c r="H103" i="6"/>
  <c r="D103" i="6"/>
  <c r="I47" i="6"/>
  <c r="H47" i="6"/>
  <c r="D47" i="6"/>
  <c r="I51" i="6"/>
  <c r="H51" i="6"/>
  <c r="D51" i="6"/>
  <c r="I101" i="6"/>
  <c r="H101" i="6"/>
  <c r="D101" i="6"/>
  <c r="I110" i="6"/>
  <c r="H110" i="6"/>
  <c r="D110" i="6"/>
  <c r="I20" i="6"/>
  <c r="H20" i="6"/>
  <c r="D20" i="6"/>
  <c r="I33" i="6"/>
  <c r="H33" i="6"/>
  <c r="D33" i="6"/>
  <c r="I58" i="6"/>
  <c r="H58" i="6"/>
  <c r="D58" i="6"/>
  <c r="I94" i="6"/>
  <c r="H94" i="6"/>
  <c r="D94" i="6"/>
  <c r="I85" i="6"/>
  <c r="H85" i="6"/>
  <c r="D85" i="6"/>
  <c r="I107" i="6"/>
  <c r="H107" i="6"/>
  <c r="D107" i="6"/>
  <c r="I96" i="6"/>
  <c r="H96" i="6"/>
  <c r="D96" i="6"/>
  <c r="I14" i="6"/>
  <c r="H14" i="6"/>
  <c r="D14" i="6"/>
  <c r="I32" i="6"/>
  <c r="H32" i="6"/>
  <c r="D32" i="6"/>
  <c r="I98" i="6"/>
  <c r="H98" i="6"/>
  <c r="D98" i="6"/>
  <c r="I13" i="6"/>
  <c r="H13" i="6"/>
  <c r="D13" i="6"/>
  <c r="I27" i="6"/>
  <c r="H27" i="6"/>
  <c r="D27" i="6"/>
  <c r="I63" i="6"/>
  <c r="H63" i="6"/>
  <c r="D63" i="6"/>
  <c r="I87" i="6"/>
  <c r="H87" i="6"/>
  <c r="D87" i="6"/>
  <c r="I97" i="6"/>
  <c r="H97" i="6"/>
  <c r="D97" i="6"/>
  <c r="I82" i="6"/>
  <c r="H82" i="6"/>
  <c r="D82" i="6"/>
  <c r="I86" i="6"/>
  <c r="H86" i="6"/>
  <c r="D86" i="6"/>
  <c r="I108" i="6"/>
  <c r="H108" i="6"/>
  <c r="D108" i="6"/>
  <c r="I29" i="6"/>
  <c r="H29" i="6"/>
  <c r="D29" i="6"/>
  <c r="I89" i="6"/>
  <c r="H89" i="6"/>
  <c r="D89" i="6"/>
  <c r="I100" i="6"/>
  <c r="H100" i="6"/>
  <c r="D100" i="6"/>
  <c r="I57" i="6"/>
  <c r="H57" i="6"/>
  <c r="D57" i="6"/>
  <c r="I42" i="6"/>
  <c r="H42" i="6"/>
  <c r="D42" i="6"/>
  <c r="I16" i="6"/>
  <c r="H16" i="6"/>
  <c r="D16" i="6"/>
  <c r="I34" i="6"/>
  <c r="H34" i="6"/>
  <c r="D34" i="6"/>
  <c r="I44" i="6"/>
  <c r="H44" i="6"/>
  <c r="D44" i="6"/>
  <c r="I68" i="6"/>
  <c r="H68" i="6"/>
  <c r="D68" i="6"/>
  <c r="I53" i="6"/>
  <c r="H53" i="6"/>
  <c r="D53" i="6"/>
  <c r="I104" i="6"/>
  <c r="H104" i="6"/>
  <c r="D104" i="6"/>
  <c r="I99" i="6"/>
  <c r="H99" i="6"/>
  <c r="D99" i="6"/>
  <c r="I105" i="6"/>
  <c r="H105" i="6"/>
  <c r="D105" i="6"/>
  <c r="I79" i="6"/>
  <c r="H79" i="6"/>
  <c r="D79" i="6"/>
  <c r="I78" i="6"/>
  <c r="H78" i="6"/>
  <c r="D78" i="6"/>
  <c r="I35" i="6"/>
  <c r="H35" i="6"/>
  <c r="D35" i="6"/>
  <c r="I43" i="6"/>
  <c r="H43" i="6"/>
  <c r="D43" i="6"/>
  <c r="I49" i="6"/>
  <c r="H49" i="6"/>
  <c r="D49" i="6"/>
  <c r="I18" i="6"/>
  <c r="H18" i="6"/>
  <c r="D18" i="6"/>
  <c r="I106" i="6"/>
  <c r="H106" i="6"/>
  <c r="D106" i="6"/>
  <c r="I66" i="6"/>
  <c r="H66" i="6"/>
  <c r="D66" i="6"/>
  <c r="I84" i="6"/>
  <c r="H84" i="6"/>
  <c r="D84" i="6"/>
  <c r="I64" i="6"/>
  <c r="H64" i="6"/>
  <c r="D64" i="6"/>
  <c r="I7" i="6"/>
  <c r="H7" i="6"/>
  <c r="D7" i="6"/>
  <c r="I6" i="6"/>
  <c r="H6" i="6"/>
  <c r="D6" i="6"/>
  <c r="I11" i="6"/>
  <c r="H11" i="6"/>
  <c r="D11" i="6"/>
  <c r="I67" i="6"/>
  <c r="H67" i="6"/>
  <c r="D67" i="6"/>
  <c r="I39" i="6"/>
  <c r="H39" i="6"/>
  <c r="D39" i="6"/>
  <c r="I88" i="6"/>
  <c r="H88" i="6"/>
  <c r="D88" i="6"/>
  <c r="I21" i="6"/>
  <c r="H21" i="6"/>
  <c r="D21" i="6"/>
  <c r="I56" i="6"/>
  <c r="H56" i="6"/>
  <c r="D56" i="6"/>
  <c r="I81" i="6"/>
  <c r="H81" i="6"/>
  <c r="D81" i="6"/>
  <c r="I38" i="6"/>
  <c r="H38" i="6"/>
  <c r="D38" i="6"/>
  <c r="I37" i="6"/>
  <c r="H37" i="6"/>
  <c r="D37" i="6"/>
  <c r="I40" i="6"/>
  <c r="H40" i="6"/>
  <c r="D40" i="6"/>
  <c r="I36" i="6"/>
  <c r="H36" i="6"/>
  <c r="D36" i="6"/>
  <c r="I76" i="6"/>
  <c r="H76" i="6"/>
  <c r="D76" i="6"/>
  <c r="I74" i="6"/>
  <c r="H74" i="6"/>
  <c r="D74" i="6"/>
  <c r="I71" i="6"/>
  <c r="H71" i="6"/>
  <c r="D71" i="6"/>
  <c r="I80" i="6"/>
  <c r="H80" i="6"/>
  <c r="D80" i="6"/>
  <c r="I59" i="6"/>
  <c r="H59" i="6"/>
  <c r="D59" i="6"/>
  <c r="I61" i="6"/>
  <c r="H61" i="6"/>
  <c r="D61" i="6"/>
  <c r="I2" i="6"/>
  <c r="H2" i="6"/>
  <c r="D2" i="6"/>
  <c r="I46" i="6"/>
  <c r="H46" i="6"/>
  <c r="D46" i="6"/>
  <c r="I102" i="6"/>
  <c r="H102" i="6"/>
  <c r="D102" i="6"/>
  <c r="I55" i="6"/>
  <c r="H55" i="6"/>
  <c r="D55" i="6"/>
  <c r="I45" i="6"/>
  <c r="H45" i="6"/>
  <c r="D45" i="6"/>
  <c r="I60" i="6"/>
  <c r="H60" i="6"/>
  <c r="D60" i="6"/>
  <c r="I90" i="6"/>
  <c r="H90" i="6"/>
  <c r="D90" i="6"/>
  <c r="I54" i="6"/>
  <c r="H54" i="6"/>
  <c r="D54" i="6"/>
  <c r="I8" i="6"/>
  <c r="H8" i="6"/>
  <c r="D8" i="6"/>
  <c r="I91" i="6"/>
  <c r="H91" i="6"/>
  <c r="D91" i="6"/>
  <c r="I31" i="6"/>
  <c r="H31" i="6"/>
  <c r="D31" i="6"/>
  <c r="I10" i="6"/>
  <c r="H10" i="6"/>
  <c r="D10" i="6"/>
  <c r="I19" i="6"/>
  <c r="H19" i="6"/>
  <c r="D19" i="6"/>
  <c r="I3" i="6"/>
  <c r="H3" i="6"/>
  <c r="D3" i="6"/>
  <c r="I25" i="6"/>
  <c r="H25" i="6"/>
  <c r="D25" i="6"/>
  <c r="I28" i="6"/>
  <c r="H28" i="6"/>
  <c r="D28" i="6"/>
  <c r="I83" i="6"/>
  <c r="H83" i="6"/>
  <c r="D83" i="6"/>
  <c r="I30" i="6"/>
  <c r="H30" i="6"/>
  <c r="D30" i="6"/>
  <c r="I75" i="6"/>
  <c r="H75" i="6"/>
  <c r="D75" i="6"/>
  <c r="I62" i="6"/>
  <c r="H62" i="6"/>
  <c r="D62" i="6"/>
  <c r="I70" i="6"/>
  <c r="H70" i="6"/>
  <c r="D70" i="6"/>
  <c r="I69" i="6"/>
  <c r="H69" i="6"/>
  <c r="D69" i="6"/>
  <c r="I24" i="6"/>
  <c r="H24" i="6"/>
  <c r="D24" i="6"/>
  <c r="I4" i="6"/>
  <c r="H4" i="6"/>
  <c r="D4" i="6"/>
  <c r="I41" i="6"/>
  <c r="H41" i="6"/>
  <c r="D41" i="6"/>
  <c r="I12" i="6"/>
  <c r="H12" i="6"/>
  <c r="D12" i="6"/>
  <c r="I9" i="6"/>
  <c r="H9" i="6"/>
  <c r="D9" i="6"/>
  <c r="I48" i="6"/>
  <c r="H48" i="6"/>
  <c r="D48" i="6"/>
  <c r="I5" i="6"/>
  <c r="H5" i="6"/>
  <c r="D5" i="6"/>
  <c r="I26" i="6"/>
  <c r="H26" i="6"/>
  <c r="D26" i="6"/>
  <c r="I92" i="6"/>
  <c r="H92" i="6"/>
  <c r="D92" i="6"/>
  <c r="I93" i="6"/>
  <c r="H93" i="6"/>
  <c r="D93" i="6"/>
  <c r="I73" i="6"/>
  <c r="H73" i="6"/>
  <c r="D73" i="6"/>
  <c r="I50" i="6"/>
  <c r="H50" i="6"/>
  <c r="D50" i="6"/>
  <c r="I52" i="6"/>
  <c r="H52" i="6"/>
  <c r="D52" i="6"/>
  <c r="I65" i="6"/>
  <c r="H65" i="6"/>
  <c r="D65" i="6"/>
  <c r="I22" i="6"/>
  <c r="H22" i="6"/>
  <c r="D22" i="6"/>
  <c r="I77" i="6"/>
  <c r="H77" i="6"/>
  <c r="D77" i="6"/>
  <c r="I23" i="6"/>
  <c r="H23" i="6"/>
  <c r="D23" i="6"/>
  <c r="I17" i="6"/>
  <c r="H17" i="6"/>
  <c r="D17" i="6"/>
  <c r="I15" i="6"/>
  <c r="H15" i="6"/>
  <c r="D15" i="6"/>
  <c r="B14" i="3"/>
  <c r="B18" i="3"/>
  <c r="B17" i="3"/>
  <c r="B16" i="3"/>
  <c r="B13" i="3"/>
  <c r="B12" i="3"/>
  <c r="B11" i="3"/>
  <c r="B10" i="3"/>
  <c r="B9" i="3"/>
  <c r="E8" i="3"/>
  <c r="D8" i="3"/>
  <c r="C8" i="3"/>
  <c r="B8" i="3"/>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2"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2" i="2"/>
  <c r="D13" i="2"/>
  <c r="D3" i="2"/>
  <c r="D4" i="2"/>
  <c r="D5" i="2"/>
  <c r="D6" i="2"/>
  <c r="D7" i="2"/>
  <c r="D8" i="2"/>
  <c r="D9" i="2"/>
  <c r="D10" i="2"/>
  <c r="D11" i="2"/>
  <c r="D2" i="2"/>
</calcChain>
</file>

<file path=xl/sharedStrings.xml><?xml version="1.0" encoding="utf-8"?>
<sst xmlns="http://schemas.openxmlformats.org/spreadsheetml/2006/main" count="870" uniqueCount="371">
  <si>
    <t>Product</t>
  </si>
  <si>
    <t>Current price</t>
  </si>
  <si>
    <t>old price</t>
  </si>
  <si>
    <t>Discount</t>
  </si>
  <si>
    <t>Review</t>
  </si>
  <si>
    <t>Ratingd</t>
  </si>
  <si>
    <t>115  Piece Set Of Multifunctional Precision Screwdrivers</t>
  </si>
  <si>
    <t>KSh 950</t>
  </si>
  <si>
    <t>KSh 1,525</t>
  </si>
  <si>
    <t>4.5 out of 5</t>
  </si>
  <si>
    <t>Metal Decorative Hooks Key Hangers Entryway Wall Hooks Towel Hooks - Home</t>
  </si>
  <si>
    <t>KSh 527</t>
  </si>
  <si>
    <t>KSh 999</t>
  </si>
  <si>
    <t>4.1 out of 5</t>
  </si>
  <si>
    <t>Portable Mini Cordless Car Vacuum Cleaner - Blue</t>
  </si>
  <si>
    <t>KSh 2,199</t>
  </si>
  <si>
    <t>KSh 2,923</t>
  </si>
  <si>
    <t>4.6 out of 5</t>
  </si>
  <si>
    <t>Weighing Scale Digital Bathroom Body Fat Scale USB-Black</t>
  </si>
  <si>
    <t>KSh 1,580</t>
  </si>
  <si>
    <t>KSh 2,499</t>
  </si>
  <si>
    <t>4.7 out of 5</t>
  </si>
  <si>
    <t>Portable Home Small Air Humidifier 3-Speed Fan - Green</t>
  </si>
  <si>
    <t>KSh 1,740</t>
  </si>
  <si>
    <t>KSh 2,356</t>
  </si>
  <si>
    <t>4.8 out of 5</t>
  </si>
  <si>
    <t>220V 60W Electric Soldering Iron Kits With Tools, Tips, And Multimeter</t>
  </si>
  <si>
    <t>KSh 2,999</t>
  </si>
  <si>
    <t>KSh 3,290</t>
  </si>
  <si>
    <t>4 out of 5</t>
  </si>
  <si>
    <t>137 Pieces Cake Decorating Tool Set Baking Supplies</t>
  </si>
  <si>
    <t>KSh 2,319</t>
  </si>
  <si>
    <t>KSh 3,032</t>
  </si>
  <si>
    <t>Desk Foldable Fan Adjustable Fan Strong Wind 3 Gear Usb</t>
  </si>
  <si>
    <t>KSh 988</t>
  </si>
  <si>
    <t>LASA FOLDING TABLE SERVING STAND</t>
  </si>
  <si>
    <t>KSh 1,274</t>
  </si>
  <si>
    <t>KSh 2,800</t>
  </si>
  <si>
    <t>13 In 1 Home Repair Tools Box Kit Set</t>
  </si>
  <si>
    <t>KSh 1,600</t>
  </si>
  <si>
    <t>KSh 2,929</t>
  </si>
  <si>
    <t>3.8 out of 5</t>
  </si>
  <si>
    <t>Genebre 115 In 1 Screwdriver Repairing Tool Set For IPhone Cellphone Hand Tool</t>
  </si>
  <si>
    <t>KSh 799</t>
  </si>
  <si>
    <t>100 Pcs Crochet Hook Tool Set Knitting Hook Set With Box</t>
  </si>
  <si>
    <t>KSh 990</t>
  </si>
  <si>
    <t>KSh 1,500</t>
  </si>
  <si>
    <t>40cm Gold DIY Acrylic Wall Sticker Clock</t>
  </si>
  <si>
    <t>KSh 552</t>
  </si>
  <si>
    <t>KSh 1,035</t>
  </si>
  <si>
    <t>LASA Digital Thermometer And Hydrometer</t>
  </si>
  <si>
    <t>KSh 501</t>
  </si>
  <si>
    <t>KSh 860</t>
  </si>
  <si>
    <t>Multifunction Laser Level With Adjustment Tripod</t>
  </si>
  <si>
    <t>KSh 1,680</t>
  </si>
  <si>
    <t>4.2 out of 5</t>
  </si>
  <si>
    <t>Anti-Skid Absorbent Insulation Coaster  For Home Office</t>
  </si>
  <si>
    <t>KSh 332</t>
  </si>
  <si>
    <t>KSh 684</t>
  </si>
  <si>
    <t>5 out of 5</t>
  </si>
  <si>
    <t>Peacock  Throw Pillow Cushion Case For Home Car</t>
  </si>
  <si>
    <t>KSh 195</t>
  </si>
  <si>
    <t>KSh 360</t>
  </si>
  <si>
    <t>LASA Aluminum Folding Truck Hand Cart - 68kg Max</t>
  </si>
  <si>
    <t>KSh 2,025</t>
  </si>
  <si>
    <t>KSh 3,971</t>
  </si>
  <si>
    <t>LED Wall Digital Alarm Clock Study Home 12 / 24H Clock Calendar</t>
  </si>
  <si>
    <t>KSh 3,699</t>
  </si>
  <si>
    <t>3D Waterproof EVA Plastic Shower Curtain 1.8*2Mtrs</t>
  </si>
  <si>
    <t>KSh 998</t>
  </si>
  <si>
    <t>KSh 1,966</t>
  </si>
  <si>
    <t>3PCS Single Head Knitting Crochet Sweater Needle Set</t>
  </si>
  <si>
    <t>KSh 38</t>
  </si>
  <si>
    <t>KSh 80</t>
  </si>
  <si>
    <t>3.3 out of 5</t>
  </si>
  <si>
    <t>4pcs Bathroom/Kitchen Towel Rack,Roll Paper Holder,Towel Bars,Hook</t>
  </si>
  <si>
    <t>KSh 1,860</t>
  </si>
  <si>
    <t>KSh 3,220</t>
  </si>
  <si>
    <t>LED Romantic Spaceship Starry Sky Projector,Children's Bedroom Night Light-Blue</t>
  </si>
  <si>
    <t>KSh 880</t>
  </si>
  <si>
    <t>KSh 1,350</t>
  </si>
  <si>
    <t>Foldable Overbed Table/Desk</t>
  </si>
  <si>
    <t>KSh 1,650</t>
  </si>
  <si>
    <t>KSh 2,150</t>
  </si>
  <si>
    <t>4.4 out of 5</t>
  </si>
  <si>
    <t>LASA 3 Tier Bamboo Shoe Bench Storage Shelf</t>
  </si>
  <si>
    <t>KSh 2,048</t>
  </si>
  <si>
    <t>KSh 4,500</t>
  </si>
  <si>
    <t>4.3 out of 5</t>
  </si>
  <si>
    <t>Electronic Digital Display Vernier Caliper</t>
  </si>
  <si>
    <t>KSh 420</t>
  </si>
  <si>
    <t>KSh 647</t>
  </si>
  <si>
    <t>Portable Wardrobe Nonwoven With 3 Hanging Rods And 6 Storage Shelves</t>
  </si>
  <si>
    <t>KSh 2,880</t>
  </si>
  <si>
    <t>KSh 3,520</t>
  </si>
  <si>
    <t>12 Litre Black Insulated Lunch Box</t>
  </si>
  <si>
    <t>KSh 1,990</t>
  </si>
  <si>
    <t>52 Pieces Cake Decorating Tool Set Gift Kit Baking Supplies</t>
  </si>
  <si>
    <t>KSh 1,758</t>
  </si>
  <si>
    <t>MultiFunctional Storage Rack Multi-layer Bookshelf</t>
  </si>
  <si>
    <t>KSh 2,200</t>
  </si>
  <si>
    <t>KSh 4,080</t>
  </si>
  <si>
    <t>Exfoliate And Exfoliate Face Towel - Black</t>
  </si>
  <si>
    <t>KSh 185</t>
  </si>
  <si>
    <t>KSh 382</t>
  </si>
  <si>
    <t>12 Litre Insulated Lunch Box Grey</t>
  </si>
  <si>
    <t>KSh 980</t>
  </si>
  <si>
    <t>KSh 1,490</t>
  </si>
  <si>
    <t>LED Eye Protection  Desk Lamp , Study, Reading, USB Fan - Double Pen Holder</t>
  </si>
  <si>
    <t>KSh 1,820</t>
  </si>
  <si>
    <t>KSh 3,490</t>
  </si>
  <si>
    <t>53Pcs/Set Yarn Knitting Crochet Hooks With Bag - Fortune Cat</t>
  </si>
  <si>
    <t>KSh 1,940</t>
  </si>
  <si>
    <t>KSh 2,650</t>
  </si>
  <si>
    <t>53 Pieces/Set Yarn Knitting Crochet Hooks With Bag - Pansies</t>
  </si>
  <si>
    <t>KSh 1,980</t>
  </si>
  <si>
    <t>KSh 2,699</t>
  </si>
  <si>
    <t>DIY File Folder, Office Drawer File Holder, Pen Holder, Desktop Storage Rack</t>
  </si>
  <si>
    <t>KSh 1,620</t>
  </si>
  <si>
    <t>KSh 2,690</t>
  </si>
  <si>
    <t>Classic Black Cat Cotton Hemp Pillow Case For Home Car</t>
  </si>
  <si>
    <t>KSh 171</t>
  </si>
  <si>
    <t>Punch-free Great Load Bearing Bathroom Storage Rack Wall Shelf-White</t>
  </si>
  <si>
    <t>KSh 389</t>
  </si>
  <si>
    <t>KSh 656</t>
  </si>
  <si>
    <t>1/2/3 Seater Elastic Sofa Cover,Living Room/Home Decor Chair Cover-Grey</t>
  </si>
  <si>
    <t>KSh 1,620 - KSh 1,980</t>
  </si>
  <si>
    <t>KSh 2,200 - KSh 3,200</t>
  </si>
  <si>
    <t>LASA Stainless Steel Double Wall Mount Soap Dispenser - 500ml</t>
  </si>
  <si>
    <t>KSh 2,750</t>
  </si>
  <si>
    <t>KSh 4,471</t>
  </si>
  <si>
    <t>4M Float Switch Water Level Controller -Water Tank</t>
  </si>
  <si>
    <t>KSh 475</t>
  </si>
  <si>
    <t>KSh 931</t>
  </si>
  <si>
    <t>Modern Sofa Throw Pillow Cover-45x45cm-Blue&amp;Red</t>
  </si>
  <si>
    <t>KSh 238</t>
  </si>
  <si>
    <t>KSh 476</t>
  </si>
  <si>
    <t>Balloon Insert, Birthday Party Balloon Set, PU Leather</t>
  </si>
  <si>
    <t>KSh 610</t>
  </si>
  <si>
    <t>KSh 1,060</t>
  </si>
  <si>
    <t>Shower Cap Wide Elastic Band Cover Reusable Bashroom Cap</t>
  </si>
  <si>
    <t>KSh 2,132</t>
  </si>
  <si>
    <t>KSh 2,169</t>
  </si>
  <si>
    <t>Christmas Elk Fence Yard Lawn Decorations Cute For Holidays</t>
  </si>
  <si>
    <t>KSh 2,000</t>
  </si>
  <si>
    <t>60W Hot Melt Glue Sprayer - Efficient And Stable Glue Dispensing</t>
  </si>
  <si>
    <t>KSh 1,190</t>
  </si>
  <si>
    <t>KSh 1,785</t>
  </si>
  <si>
    <t>Car Phone Charging Stand</t>
  </si>
  <si>
    <t>KSh 671</t>
  </si>
  <si>
    <t>KSh 1,316</t>
  </si>
  <si>
    <t>2pcs Solar Street Light Flood Light Outdoor</t>
  </si>
  <si>
    <t>KSh 1,200</t>
  </si>
  <si>
    <t>KSh 1,950</t>
  </si>
  <si>
    <t>Creative Owl Shape Keychain Black</t>
  </si>
  <si>
    <t>KSh 199</t>
  </si>
  <si>
    <t>KSh 504</t>
  </si>
  <si>
    <t>Brush &amp; Paintbrush Cleaning Tool Pink</t>
  </si>
  <si>
    <t>KSh 299</t>
  </si>
  <si>
    <t>KSh 600</t>
  </si>
  <si>
    <t>Pen Grips For Kids Pen Grip Posture Correction Tool For Kids</t>
  </si>
  <si>
    <t>KSh 1,660</t>
  </si>
  <si>
    <t>KSh 1,699</t>
  </si>
  <si>
    <t>Pilates Cloth Bag Waterproof Durable High Capacity Purple</t>
  </si>
  <si>
    <t>KSh 384</t>
  </si>
  <si>
    <t>Multi-purpose Rice Drainage Basket And Fruit And Vegetable Drainage Sieve</t>
  </si>
  <si>
    <t>KSh 1,459</t>
  </si>
  <si>
    <t>KSh 1,499</t>
  </si>
  <si>
    <t>Cute Christmas Fence Garden Decorations For Holiday Home</t>
  </si>
  <si>
    <t>KSh 1,343</t>
  </si>
  <si>
    <t>Simple Metal Dog Art Sculpture Decoration For Home Office</t>
  </si>
  <si>
    <t>KSh 499</t>
  </si>
  <si>
    <t>KSh 900</t>
  </si>
  <si>
    <t>Christmas Fence Garden Decorations Outdoor For Holiday Home</t>
  </si>
  <si>
    <t>KSh 699</t>
  </si>
  <si>
    <t>Angle Measuring Tool Full Metal Multi Angle Measuring Tool</t>
  </si>
  <si>
    <t>KSh 1,567</t>
  </si>
  <si>
    <t>12V 19500rpm Handheld Electric Angle Grinder Tool - UK - Yellow/Black</t>
  </si>
  <si>
    <t>KSh 2,799</t>
  </si>
  <si>
    <t>KSh 3,810</t>
  </si>
  <si>
    <t>KSh 399</t>
  </si>
  <si>
    <t>KSh 896</t>
  </si>
  <si>
    <t>5 Pieces/set Of Stainless Steel Induction Cooker Pots</t>
  </si>
  <si>
    <t>KSh 2,170</t>
  </si>
  <si>
    <t>KSh 2,500</t>
  </si>
  <si>
    <t>2.5 out of 5</t>
  </si>
  <si>
    <t>Mythco 120COB Solar Wall Ligt With Motion Sensor And Remote Control 3 Modes</t>
  </si>
  <si>
    <t>KSh 458</t>
  </si>
  <si>
    <t>KSh 986</t>
  </si>
  <si>
    <t>3 out of 5</t>
  </si>
  <si>
    <t>5-PCS Stainless Steel Cooking Pot Set With Steamed Slices</t>
  </si>
  <si>
    <t>KSh 2,115</t>
  </si>
  <si>
    <t>KSh 4,700</t>
  </si>
  <si>
    <t>2.1 out of 5</t>
  </si>
  <si>
    <t>120W Cordless Vacuum Cleaners Handheld Electric Vacuum Cleaner</t>
  </si>
  <si>
    <t>KSh 445</t>
  </si>
  <si>
    <t>KSh 873</t>
  </si>
  <si>
    <t>2.8 out of 5</t>
  </si>
  <si>
    <t>Intelligent  LED Body Sensor Wireless Lighting Night Light USB</t>
  </si>
  <si>
    <t>KSh 325</t>
  </si>
  <si>
    <t>KSh 680</t>
  </si>
  <si>
    <t>2.7 out of 5</t>
  </si>
  <si>
    <t>VIC Wireless Vacuum Cleaner Dual Use For Home And Car 120W High Power Powerful</t>
  </si>
  <si>
    <t>KSh 1,220</t>
  </si>
  <si>
    <t>KSh 1,555</t>
  </si>
  <si>
    <t>2.9 out of 5</t>
  </si>
  <si>
    <t>Artificial Potted Flowers Room Decorative Flowers (2 Pieces)</t>
  </si>
  <si>
    <t>KSh 1,814</t>
  </si>
  <si>
    <t>2.2 out of 5</t>
  </si>
  <si>
    <t>380ML USB Rechargeable Portable Small Blenders And Juicers</t>
  </si>
  <si>
    <t>KSh 1,000</t>
  </si>
  <si>
    <t>2.3 out of 5</t>
  </si>
  <si>
    <t>32PCS Portable Cordless Drill Set With Cyclic Battery Drive -26 Variable Speed</t>
  </si>
  <si>
    <t>KSh 3,750</t>
  </si>
  <si>
    <t>KSh 6,143</t>
  </si>
  <si>
    <t>Agapeon Toothbrush Holder And Toothpaste Dispenser</t>
  </si>
  <si>
    <t>KSh 700</t>
  </si>
  <si>
    <t>2.6 out of 5</t>
  </si>
  <si>
    <t>Large Lazy Inflatable Sofa Chairs PVC Lounger Seat Bag</t>
  </si>
  <si>
    <t>KSh 2,300</t>
  </si>
  <si>
    <t>KSh 3,240</t>
  </si>
  <si>
    <t>Watercolour Gold Foil Textured Print Pillow Cover</t>
  </si>
  <si>
    <t>KSh 345</t>
  </si>
  <si>
    <t>KSh 602</t>
  </si>
  <si>
    <t>Wrought Iron Bathroom Shelf Wall Mounted Free Punch Toilet Rack</t>
  </si>
  <si>
    <t>KSh 509</t>
  </si>
  <si>
    <t>KSh 899</t>
  </si>
  <si>
    <t>7-piece Set Of Storage Bags, Travel Storage Bags, Shoe Bags</t>
  </si>
  <si>
    <t>KSh 968</t>
  </si>
  <si>
    <t>Electric LED UV Mosquito Killer Lamp, Outdoor/Indoor Fly Killer Trap Light -USB</t>
  </si>
  <si>
    <t>KSh 1,570</t>
  </si>
  <si>
    <t>KSh 2,988</t>
  </si>
  <si>
    <t>2PCS/LOT Solar LED Outdoor Intelligent Light Controlled Wall Lamp</t>
  </si>
  <si>
    <t>KSh 790</t>
  </si>
  <si>
    <t>KSh 1,485</t>
  </si>
  <si>
    <t>3PCS Rotary Scraper Thermomix For Kitchen</t>
  </si>
  <si>
    <t>KSh 690</t>
  </si>
  <si>
    <t>Cushion Silicone Butt Cushion Summer Ice Cushion Honeycomb Gel Cushion</t>
  </si>
  <si>
    <t>KSh 1,732</t>
  </si>
  <si>
    <t>KSh 1,799</t>
  </si>
  <si>
    <t>7PCS Silicone Thumb Knife Finger Protector Vegetable Harvesting Knife</t>
  </si>
  <si>
    <t>KSh 230</t>
  </si>
  <si>
    <t>KSh 450</t>
  </si>
  <si>
    <t>Memory Foam Neck Pillow Cover, With Pillow Core - 50*30cm</t>
  </si>
  <si>
    <t>KSh 1,189</t>
  </si>
  <si>
    <t>Bedroom Simple Floor Hanging Clothes Rack Single Pole Hat Rack - White</t>
  </si>
  <si>
    <t>KSh 979</t>
  </si>
  <si>
    <t>KSh 1,920</t>
  </si>
  <si>
    <t>5m Waterproof Spherical LED String Lights Outdoor Ball Chain Lights Party Lighting Decoration Adjustable</t>
  </si>
  <si>
    <t>KSh 1,460</t>
  </si>
  <si>
    <t>KSh 2,290</t>
  </si>
  <si>
    <t>2 Pairs Cowhide Split Leather Work Gloves.32â„‰ Or Above Welding Gloves</t>
  </si>
  <si>
    <t>KSh 1,666</t>
  </si>
  <si>
    <t>Household Pineapple Peeler Peeler</t>
  </si>
  <si>
    <t>KSh 330</t>
  </si>
  <si>
    <t>KSh 176</t>
  </si>
  <si>
    <t>Office Chair Lumbar Back Support Spine Posture Correction Pillow Car Cushion</t>
  </si>
  <si>
    <t>KSh 1,466</t>
  </si>
  <si>
    <t>Cartoon Car Decoration Cute Individuality For Car Home Desk</t>
  </si>
  <si>
    <t>KSh 274</t>
  </si>
  <si>
    <t>KSh 537</t>
  </si>
  <si>
    <t>Outdoor Portable Water Bottle With Medicine Box - 600ML - Black</t>
  </si>
  <si>
    <t>KSh 657</t>
  </si>
  <si>
    <t>KSh 1,288</t>
  </si>
  <si>
    <t>Wall-Mounted Toothbrush Toothpaste Holder With Multiple Slots</t>
  </si>
  <si>
    <t>KSh 1,468</t>
  </si>
  <si>
    <t>Multifunctional Hanging Storage Box Storage Bag (4 Layers)</t>
  </si>
  <si>
    <t>KSh 630</t>
  </si>
  <si>
    <t>KSh 1,100</t>
  </si>
  <si>
    <t>Wall Clock With Hidden Safe Box</t>
  </si>
  <si>
    <t>KSh 850</t>
  </si>
  <si>
    <t>KSh 1,700</t>
  </si>
  <si>
    <t>Portable Wine Table With Folding Round Table</t>
  </si>
  <si>
    <t>KSh 1,300</t>
  </si>
  <si>
    <t>Sewing Machine Needle Threader Stitch Insertion Tool Automatic Quick Sewing</t>
  </si>
  <si>
    <t>KSh 105</t>
  </si>
  <si>
    <t>KSh 200</t>
  </si>
  <si>
    <t>6 Layers Steel Pipe Assembling Dustproof Storage Shoe Cabinet</t>
  </si>
  <si>
    <t>2PCS Ice Silk Square Cushion Cover Pillowcases - 65x65cm</t>
  </si>
  <si>
    <t>KSh 2,400</t>
  </si>
  <si>
    <t>Wall Mount Automatic Toothpaste Dispenser Toothbrush Holder Toothpaste Squeezer</t>
  </si>
  <si>
    <t>KSh 1,526</t>
  </si>
  <si>
    <t>Portable Soap Dispenser Kitchen Detergent Press Box Kitchen Tools</t>
  </si>
  <si>
    <t>KSh 1,462</t>
  </si>
  <si>
    <t>4 Piece Coloured Stainless Steel Kitchenware Set</t>
  </si>
  <si>
    <t>KSh 248</t>
  </si>
  <si>
    <t>KSh 486</t>
  </si>
  <si>
    <t>Metal Wall Clock Silver Dial Crystal Jewelry Round Home Decoration Wall Clock</t>
  </si>
  <si>
    <t>KSh 3,546</t>
  </si>
  <si>
    <t>Baby Early Education Shape And Color Cognitive Training Toys</t>
  </si>
  <si>
    <t>KSh 525</t>
  </si>
  <si>
    <t>KSh 1,029</t>
  </si>
  <si>
    <t>8in1 Screwdriver With LED Light</t>
  </si>
  <si>
    <t>KSh 1,080</t>
  </si>
  <si>
    <t>KSh 1,874</t>
  </si>
  <si>
    <t>Konka Healty Electric Kettle, 24-hour Heat Preservation,1.5L,800W, White</t>
  </si>
  <si>
    <t>KSh 3,640</t>
  </si>
  <si>
    <t>KSh 4,588</t>
  </si>
  <si>
    <t>9pcs Gas Mask, For Painting, Dust, Formaldehyde Grinding, Polishing</t>
  </si>
  <si>
    <t>KSh 1,420</t>
  </si>
  <si>
    <t>KSh 2,420</t>
  </si>
  <si>
    <t>24 Grid Wall-mounted Sundries Organiser Fabric Closet Bag Storage Rack</t>
  </si>
  <si>
    <t>KSh 1,875</t>
  </si>
  <si>
    <t>KSh 1,899</t>
  </si>
  <si>
    <t>1PC Refrigerator Food Seal Pocket Fridge Bags</t>
  </si>
  <si>
    <t>KSh 198</t>
  </si>
  <si>
    <t>KSh 260</t>
  </si>
  <si>
    <t>LED Solar Street Light-fake Camera</t>
  </si>
  <si>
    <t>KSh 1,150</t>
  </si>
  <si>
    <t>KSh 1,737</t>
  </si>
  <si>
    <t>Cartoon Embroidered Mini Towel Bear Cotton Wash Cloth Hand 4pcs</t>
  </si>
  <si>
    <t>KSh 1,810</t>
  </si>
  <si>
    <t>Shower Nozzle Cleaning Unclogging Needle Mini Crevice Small Hole Cleaning Brush</t>
  </si>
  <si>
    <t>KSh 1,658</t>
  </si>
  <si>
    <t>Thickening Multipurpose Non Stick Easy To Clean Heat Resistant Spoon Pad</t>
  </si>
  <si>
    <t>KSh 1,768</t>
  </si>
  <si>
    <t>6 In 1 Bottle Can Opener Multifunctional Easy Opener</t>
  </si>
  <si>
    <t>KSh 553</t>
  </si>
  <si>
    <t>Wall-mounted Sticker Punch-free Plug Fixer</t>
  </si>
  <si>
    <t>2 out of 5</t>
  </si>
  <si>
    <t>Black Simple Water Cup Wine Coaster Anti Slip Absorbent</t>
  </si>
  <si>
    <t>KSh 169</t>
  </si>
  <si>
    <t>KSh 320</t>
  </si>
  <si>
    <t>Discount amnt</t>
  </si>
  <si>
    <t>Rating category</t>
  </si>
  <si>
    <t>Discount  category</t>
  </si>
  <si>
    <t>Descriptive Analysis</t>
  </si>
  <si>
    <t>• What is the average current price, old price, discount percentage, and rating?</t>
  </si>
  <si>
    <t>• Which product is the most expensive and which is the least expensive?</t>
  </si>
  <si>
    <t>• What is the average rating and discount by discount category?</t>
  </si>
  <si>
    <t>• How are products distributed across rating categories?</t>
  </si>
  <si>
    <t>Average</t>
  </si>
  <si>
    <t>current price</t>
  </si>
  <si>
    <t>Old Price</t>
  </si>
  <si>
    <t>Discount %</t>
  </si>
  <si>
    <t>Rating</t>
  </si>
  <si>
    <t>most expensive product</t>
  </si>
  <si>
    <t>Least expensive product</t>
  </si>
  <si>
    <t>What is the average rating and discount by discount category? Hign disc</t>
  </si>
  <si>
    <t>Low discount</t>
  </si>
  <si>
    <t>High Discount by rating</t>
  </si>
  <si>
    <t>Low Discount by rating</t>
  </si>
  <si>
    <t>Poor</t>
  </si>
  <si>
    <t>Excellent</t>
  </si>
  <si>
    <t>No of Review</t>
  </si>
  <si>
    <t>Ratings</t>
  </si>
  <si>
    <t>Sum of No of Review</t>
  </si>
  <si>
    <t>Row Labels</t>
  </si>
  <si>
    <t>Grand Total</t>
  </si>
  <si>
    <t>Sum of Ratings</t>
  </si>
  <si>
    <t>poor</t>
  </si>
  <si>
    <t>Count of Product</t>
  </si>
  <si>
    <t>High Discount</t>
  </si>
  <si>
    <t>Low Discount</t>
  </si>
  <si>
    <t>Medium Discount</t>
  </si>
  <si>
    <t>Trend and Relationship Analysis</t>
  </si>
  <si>
    <t>• Analyze the relationship between discount percentage and number of reviews</t>
  </si>
  <si>
    <t>• Analyze the relationship between rating and number of reviews</t>
  </si>
  <si>
    <t>• Determine whether higher discounts lead to increased customer engagement</t>
  </si>
  <si>
    <t>• Determine whether higher-rated products tend to have more reviews</t>
  </si>
  <si>
    <t>There is a very weak positive correlation checking from the graph. In this dataset, offering a higher discount does not automatically result in a higher number of reviews.</t>
  </si>
  <si>
    <t>There is a noticeable link between the two. Generally, products that have higher ratings also tend to have a higher number of reviews. leading to more customers buying them and subsequently leave their own reviews.</t>
  </si>
  <si>
    <t>Based on the dataset, higher-rated products do tend to have more reviews. There is a clear relationship where products in the "Excellent" category significantly outperform those in the "Poor" category in terms of engagement.</t>
  </si>
  <si>
    <t>The relationship is non-linear. While products with very low discounts have the lowest engagement, the highest engagement actually occurs at Medium Discount (typically between 20% and 40%) rather than High Discount</t>
  </si>
  <si>
    <t>Product Performance Analysis</t>
  </si>
  <si>
    <t>• Identify the top 10 products with the highest discounts</t>
  </si>
  <si>
    <t>Identify the top 10 products with the most reviews</t>
  </si>
  <si>
    <t>(Multiple Items)</t>
  </si>
  <si>
    <t>Identify the top 5 highest-rated and bottom 5 lowest-rated products</t>
  </si>
  <si>
    <t>Product of Ratings</t>
  </si>
  <si>
    <t>LOWEST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</si>
</sst>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i/>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4">
    <xf numFmtId="0" fontId="0" fillId="0" borderId="0" xfId="0"/>
    <xf numFmtId="9" fontId="0" fillId="0" borderId="0" xfId="0" applyNumberFormat="1"/>
    <xf numFmtId="0" fontId="16" fillId="0" borderId="0" xfId="0" applyFont="1"/>
    <xf numFmtId="2" fontId="16" fillId="0" borderId="0" xfId="0" applyNumberFormat="1" applyFont="1"/>
    <xf numFmtId="2" fontId="0" fillId="0" borderId="0" xfId="0" applyNumberFormat="1"/>
    <xf numFmtId="0" fontId="0" fillId="0" borderId="0" xfId="0" pivotButton="1"/>
    <xf numFmtId="9" fontId="0" fillId="0" borderId="0" xfId="0" applyNumberFormat="1" applyAlignment="1">
      <alignment horizontal="left"/>
    </xf>
    <xf numFmtId="0" fontId="0" fillId="0" borderId="0" xfId="0" applyAlignment="1">
      <alignment horizontal="left"/>
    </xf>
    <xf numFmtId="0" fontId="0" fillId="0" borderId="10" xfId="0" applyBorder="1"/>
    <xf numFmtId="2" fontId="0" fillId="0" borderId="10" xfId="0" applyNumberFormat="1" applyBorder="1"/>
    <xf numFmtId="9" fontId="0" fillId="0" borderId="10" xfId="0" applyNumberFormat="1" applyBorder="1"/>
    <xf numFmtId="0" fontId="16" fillId="0" borderId="10" xfId="0" applyFont="1" applyBorder="1"/>
    <xf numFmtId="0" fontId="18" fillId="0" borderId="0" xfId="0" applyFont="1" applyAlignment="1">
      <alignment wrapText="1"/>
    </xf>
    <xf numFmtId="43" fontId="18" fillId="0" borderId="0" xfId="42" applyFont="1"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3" formatCode="0%"/>
    </dxf>
    <dxf>
      <numFmt numFmtId="2" formatCode="0.00"/>
    </dxf>
    <dxf>
      <numFmt numFmtId="2" formatCode="0.00"/>
    </dxf>
    <dxf>
      <numFmt numFmtId="2" formatCode="0.00"/>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assignment week 1.xlsx]Sheet4!PivotTable17</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Sheet4!$A$4:$A$26</c:f>
              <c:strCache>
                <c:ptCount val="23"/>
                <c:pt idx="0">
                  <c:v>0</c:v>
                </c:pt>
                <c:pt idx="1">
                  <c:v>2</c:v>
                </c:pt>
                <c:pt idx="2">
                  <c:v>2.1</c:v>
                </c:pt>
                <c:pt idx="3">
                  <c:v>2.2</c:v>
                </c:pt>
                <c:pt idx="4">
                  <c:v>2.3</c:v>
                </c:pt>
                <c:pt idx="5">
                  <c:v>2.5</c:v>
                </c:pt>
                <c:pt idx="6">
                  <c:v>2.6</c:v>
                </c:pt>
                <c:pt idx="7">
                  <c:v>2.7</c:v>
                </c:pt>
                <c:pt idx="8">
                  <c:v>2.8</c:v>
                </c:pt>
                <c:pt idx="9">
                  <c:v>2.9</c:v>
                </c:pt>
                <c:pt idx="10">
                  <c:v>3</c:v>
                </c:pt>
                <c:pt idx="11">
                  <c:v>3.3</c:v>
                </c:pt>
                <c:pt idx="12">
                  <c:v>3.8</c:v>
                </c:pt>
                <c:pt idx="13">
                  <c:v>4</c:v>
                </c:pt>
                <c:pt idx="14">
                  <c:v>4.1</c:v>
                </c:pt>
                <c:pt idx="15">
                  <c:v>4.2</c:v>
                </c:pt>
                <c:pt idx="16">
                  <c:v>4.3</c:v>
                </c:pt>
                <c:pt idx="17">
                  <c:v>4.4</c:v>
                </c:pt>
                <c:pt idx="18">
                  <c:v>4.5</c:v>
                </c:pt>
                <c:pt idx="19">
                  <c:v>4.6</c:v>
                </c:pt>
                <c:pt idx="20">
                  <c:v>4.7</c:v>
                </c:pt>
                <c:pt idx="21">
                  <c:v>4.8</c:v>
                </c:pt>
                <c:pt idx="22">
                  <c:v>5</c:v>
                </c:pt>
              </c:strCache>
            </c:strRef>
          </c:cat>
          <c:val>
            <c:numRef>
              <c:f>Sheet4!$B$4:$B$26</c:f>
              <c:numCache>
                <c:formatCode>General</c:formatCode>
                <c:ptCount val="23"/>
                <c:pt idx="0">
                  <c:v>0</c:v>
                </c:pt>
                <c:pt idx="1">
                  <c:v>1</c:v>
                </c:pt>
                <c:pt idx="2">
                  <c:v>20</c:v>
                </c:pt>
                <c:pt idx="3">
                  <c:v>12</c:v>
                </c:pt>
                <c:pt idx="4">
                  <c:v>13</c:v>
                </c:pt>
                <c:pt idx="5">
                  <c:v>6</c:v>
                </c:pt>
                <c:pt idx="6">
                  <c:v>17</c:v>
                </c:pt>
                <c:pt idx="7">
                  <c:v>15</c:v>
                </c:pt>
                <c:pt idx="8">
                  <c:v>69</c:v>
                </c:pt>
                <c:pt idx="9">
                  <c:v>16</c:v>
                </c:pt>
                <c:pt idx="10">
                  <c:v>26</c:v>
                </c:pt>
                <c:pt idx="11">
                  <c:v>13</c:v>
                </c:pt>
                <c:pt idx="12">
                  <c:v>30</c:v>
                </c:pt>
                <c:pt idx="13">
                  <c:v>24</c:v>
                </c:pt>
                <c:pt idx="14">
                  <c:v>46</c:v>
                </c:pt>
                <c:pt idx="15">
                  <c:v>9</c:v>
                </c:pt>
                <c:pt idx="16">
                  <c:v>61</c:v>
                </c:pt>
                <c:pt idx="17">
                  <c:v>14</c:v>
                </c:pt>
                <c:pt idx="18">
                  <c:v>42</c:v>
                </c:pt>
                <c:pt idx="19">
                  <c:v>177</c:v>
                </c:pt>
                <c:pt idx="20">
                  <c:v>78</c:v>
                </c:pt>
                <c:pt idx="21">
                  <c:v>22</c:v>
                </c:pt>
                <c:pt idx="22">
                  <c:v>12</c:v>
                </c:pt>
              </c:numCache>
            </c:numRef>
          </c:val>
          <c:extLst>
            <c:ext xmlns:c16="http://schemas.microsoft.com/office/drawing/2014/chart" uri="{C3380CC4-5D6E-409C-BE32-E72D297353CC}">
              <c16:uniqueId val="{00000023-DC42-4E6B-98EA-9F2078DE650D}"/>
            </c:ext>
          </c:extLst>
        </c:ser>
        <c:dLbls>
          <c:showLegendKey val="0"/>
          <c:showVal val="0"/>
          <c:showCatName val="0"/>
          <c:showSerName val="0"/>
          <c:showPercent val="0"/>
          <c:showBubbleSize val="0"/>
        </c:dLbls>
        <c:gapWidth val="219"/>
        <c:overlap val="-27"/>
        <c:axId val="1654976016"/>
        <c:axId val="1654979376"/>
      </c:barChart>
      <c:catAx>
        <c:axId val="165497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979376"/>
        <c:crosses val="autoZero"/>
        <c:auto val="1"/>
        <c:lblAlgn val="ctr"/>
        <c:lblOffset val="100"/>
        <c:noMultiLvlLbl val="0"/>
      </c:catAx>
      <c:valAx>
        <c:axId val="1654979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976016"/>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assignment week 1.xlsx]Sheet7!PivotTable37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rating versus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Sheet7!$B$18</c:f>
              <c:strCache>
                <c:ptCount val="1"/>
                <c:pt idx="0">
                  <c:v>Total</c:v>
                </c:pt>
              </c:strCache>
            </c:strRef>
          </c:tx>
          <c:spPr>
            <a:solidFill>
              <a:schemeClr val="accent1"/>
            </a:solidFill>
            <a:ln>
              <a:noFill/>
            </a:ln>
            <a:effectLst/>
          </c:spPr>
          <c:invertIfNegative val="0"/>
          <c:cat>
            <c:strRef>
              <c:f>Sheet7!$A$19:$A$22</c:f>
              <c:strCache>
                <c:ptCount val="3"/>
                <c:pt idx="0">
                  <c:v>Average</c:v>
                </c:pt>
                <c:pt idx="1">
                  <c:v>Excellent</c:v>
                </c:pt>
                <c:pt idx="2">
                  <c:v>poor</c:v>
                </c:pt>
              </c:strCache>
            </c:strRef>
          </c:cat>
          <c:val>
            <c:numRef>
              <c:f>Sheet7!$B$19:$B$22</c:f>
              <c:numCache>
                <c:formatCode>General</c:formatCode>
                <c:ptCount val="3"/>
                <c:pt idx="0">
                  <c:v>3</c:v>
                </c:pt>
                <c:pt idx="1">
                  <c:v>702</c:v>
                </c:pt>
                <c:pt idx="2">
                  <c:v>18</c:v>
                </c:pt>
              </c:numCache>
            </c:numRef>
          </c:val>
          <c:extLst>
            <c:ext xmlns:c16="http://schemas.microsoft.com/office/drawing/2014/chart" uri="{C3380CC4-5D6E-409C-BE32-E72D297353CC}">
              <c16:uniqueId val="{00000000-0390-4CB0-A09A-FC5217AF5006}"/>
            </c:ext>
          </c:extLst>
        </c:ser>
        <c:dLbls>
          <c:showLegendKey val="0"/>
          <c:showVal val="0"/>
          <c:showCatName val="0"/>
          <c:showSerName val="0"/>
          <c:showPercent val="0"/>
          <c:showBubbleSize val="0"/>
        </c:dLbls>
        <c:gapWidth val="219"/>
        <c:overlap val="-27"/>
        <c:axId val="1862428272"/>
        <c:axId val="1862422992"/>
      </c:barChart>
      <c:catAx>
        <c:axId val="186242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422992"/>
        <c:crosses val="autoZero"/>
        <c:auto val="1"/>
        <c:lblAlgn val="ctr"/>
        <c:lblOffset val="100"/>
        <c:noMultiLvlLbl val="0"/>
      </c:catAx>
      <c:valAx>
        <c:axId val="18624229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42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assignment week 1.xlsx]Sheet7!PivotTable38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products by rating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Sheet7!$B$31</c:f>
              <c:strCache>
                <c:ptCount val="1"/>
                <c:pt idx="0">
                  <c:v>Total</c:v>
                </c:pt>
              </c:strCache>
            </c:strRef>
          </c:tx>
          <c:spPr>
            <a:solidFill>
              <a:schemeClr val="accent1"/>
            </a:solidFill>
            <a:ln>
              <a:noFill/>
            </a:ln>
            <a:effectLst/>
          </c:spPr>
          <c:invertIfNegative val="0"/>
          <c:cat>
            <c:strRef>
              <c:f>Sheet7!$A$32:$A$35</c:f>
              <c:strCache>
                <c:ptCount val="3"/>
                <c:pt idx="0">
                  <c:v>Average</c:v>
                </c:pt>
                <c:pt idx="1">
                  <c:v>Excellent</c:v>
                </c:pt>
                <c:pt idx="2">
                  <c:v>poor</c:v>
                </c:pt>
              </c:strCache>
            </c:strRef>
          </c:cat>
          <c:val>
            <c:numRef>
              <c:f>Sheet7!$B$32:$B$35</c:f>
              <c:numCache>
                <c:formatCode>General</c:formatCode>
                <c:ptCount val="3"/>
                <c:pt idx="0">
                  <c:v>1</c:v>
                </c:pt>
                <c:pt idx="1">
                  <c:v>44</c:v>
                </c:pt>
                <c:pt idx="2">
                  <c:v>64</c:v>
                </c:pt>
              </c:numCache>
            </c:numRef>
          </c:val>
          <c:extLst>
            <c:ext xmlns:c16="http://schemas.microsoft.com/office/drawing/2014/chart" uri="{C3380CC4-5D6E-409C-BE32-E72D297353CC}">
              <c16:uniqueId val="{00000000-7C4D-40F0-A7B6-E34DDE927518}"/>
            </c:ext>
          </c:extLst>
        </c:ser>
        <c:dLbls>
          <c:showLegendKey val="0"/>
          <c:showVal val="0"/>
          <c:showCatName val="0"/>
          <c:showSerName val="0"/>
          <c:showPercent val="0"/>
          <c:showBubbleSize val="0"/>
        </c:dLbls>
        <c:gapWidth val="150"/>
        <c:overlap val="100"/>
        <c:axId val="1664575952"/>
        <c:axId val="1664583152"/>
      </c:barChart>
      <c:catAx>
        <c:axId val="166457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583152"/>
        <c:crosses val="autoZero"/>
        <c:auto val="1"/>
        <c:lblAlgn val="ctr"/>
        <c:lblOffset val="100"/>
        <c:noMultiLvlLbl val="0"/>
      </c:catAx>
      <c:valAx>
        <c:axId val="1664583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575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assignment week 1.xlsx]Sheet7!PivotTable39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products by discount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Sheet7!$B$47</c:f>
              <c:strCache>
                <c:ptCount val="1"/>
                <c:pt idx="0">
                  <c:v>Total</c:v>
                </c:pt>
              </c:strCache>
            </c:strRef>
          </c:tx>
          <c:spPr>
            <a:solidFill>
              <a:schemeClr val="accent1"/>
            </a:solidFill>
            <a:ln>
              <a:noFill/>
            </a:ln>
            <a:effectLst/>
          </c:spPr>
          <c:invertIfNegative val="0"/>
          <c:cat>
            <c:strRef>
              <c:f>Sheet7!$A$48:$A$51</c:f>
              <c:strCache>
                <c:ptCount val="3"/>
                <c:pt idx="0">
                  <c:v>High Discount</c:v>
                </c:pt>
                <c:pt idx="1">
                  <c:v>Low Discount</c:v>
                </c:pt>
                <c:pt idx="2">
                  <c:v>Medium Discount</c:v>
                </c:pt>
              </c:strCache>
            </c:strRef>
          </c:cat>
          <c:val>
            <c:numRef>
              <c:f>Sheet7!$B$48:$B$51</c:f>
              <c:numCache>
                <c:formatCode>General</c:formatCode>
                <c:ptCount val="3"/>
                <c:pt idx="0">
                  <c:v>59</c:v>
                </c:pt>
                <c:pt idx="1">
                  <c:v>18</c:v>
                </c:pt>
                <c:pt idx="2">
                  <c:v>32</c:v>
                </c:pt>
              </c:numCache>
            </c:numRef>
          </c:val>
          <c:extLst>
            <c:ext xmlns:c16="http://schemas.microsoft.com/office/drawing/2014/chart" uri="{C3380CC4-5D6E-409C-BE32-E72D297353CC}">
              <c16:uniqueId val="{00000000-2201-4C08-94D0-7BCA226E2204}"/>
            </c:ext>
          </c:extLst>
        </c:ser>
        <c:dLbls>
          <c:showLegendKey val="0"/>
          <c:showVal val="0"/>
          <c:showCatName val="0"/>
          <c:showSerName val="0"/>
          <c:showPercent val="0"/>
          <c:showBubbleSize val="0"/>
        </c:dLbls>
        <c:gapWidth val="219"/>
        <c:overlap val="-27"/>
        <c:axId val="1868069984"/>
        <c:axId val="1868055104"/>
      </c:barChart>
      <c:catAx>
        <c:axId val="186806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055104"/>
        <c:crosses val="autoZero"/>
        <c:auto val="1"/>
        <c:lblAlgn val="ctr"/>
        <c:lblOffset val="100"/>
        <c:noMultiLvlLbl val="0"/>
      </c:catAx>
      <c:valAx>
        <c:axId val="18680551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069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assignment week 1.xlsx]Sheet7!PivotTable35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discount percentage versus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cat>
            <c:strRef>
              <c:f>Sheet7!$A$4:$A$7</c:f>
              <c:strCache>
                <c:ptCount val="3"/>
                <c:pt idx="0">
                  <c:v>High Discount</c:v>
                </c:pt>
                <c:pt idx="1">
                  <c:v>Low Discount</c:v>
                </c:pt>
                <c:pt idx="2">
                  <c:v>Medium Discount</c:v>
                </c:pt>
              </c:strCache>
            </c:strRef>
          </c:cat>
          <c:val>
            <c:numRef>
              <c:f>Sheet7!$B$4:$B$7</c:f>
              <c:numCache>
                <c:formatCode>General</c:formatCode>
                <c:ptCount val="3"/>
                <c:pt idx="0">
                  <c:v>108.39999999999995</c:v>
                </c:pt>
                <c:pt idx="1">
                  <c:v>14.899999999999999</c:v>
                </c:pt>
                <c:pt idx="2">
                  <c:v>98.399999999999991</c:v>
                </c:pt>
              </c:numCache>
            </c:numRef>
          </c:val>
          <c:extLst>
            <c:ext xmlns:c16="http://schemas.microsoft.com/office/drawing/2014/chart" uri="{C3380CC4-5D6E-409C-BE32-E72D297353CC}">
              <c16:uniqueId val="{00000000-C065-490D-A128-9DBB6C51F2C0}"/>
            </c:ext>
          </c:extLst>
        </c:ser>
        <c:dLbls>
          <c:showLegendKey val="0"/>
          <c:showVal val="0"/>
          <c:showCatName val="0"/>
          <c:showSerName val="0"/>
          <c:showPercent val="0"/>
          <c:showBubbleSize val="0"/>
        </c:dLbls>
        <c:gapWidth val="219"/>
        <c:overlap val="-27"/>
        <c:axId val="1235899119"/>
        <c:axId val="1235892399"/>
      </c:barChart>
      <c:catAx>
        <c:axId val="1235899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892399"/>
        <c:crosses val="autoZero"/>
        <c:auto val="1"/>
        <c:lblAlgn val="ctr"/>
        <c:lblOffset val="100"/>
        <c:noMultiLvlLbl val="0"/>
      </c:catAx>
      <c:valAx>
        <c:axId val="12358923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899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assignment week 1.xlsx]Sheet7!PivotTable35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discount percentage versus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solidFill>
              <a:schemeClr val="accent2"/>
            </a:solidFill>
            <a:ln>
              <a:noFill/>
            </a:ln>
            <a:effectLst/>
          </c:spPr>
          <c:invertIfNegative val="0"/>
          <c:cat>
            <c:strRef>
              <c:f>Sheet7!$A$4:$A$7</c:f>
              <c:strCache>
                <c:ptCount val="3"/>
                <c:pt idx="0">
                  <c:v>High Discount</c:v>
                </c:pt>
                <c:pt idx="1">
                  <c:v>Low Discount</c:v>
                </c:pt>
                <c:pt idx="2">
                  <c:v>Medium Discount</c:v>
                </c:pt>
              </c:strCache>
            </c:strRef>
          </c:cat>
          <c:val>
            <c:numRef>
              <c:f>Sheet7!$B$4:$B$7</c:f>
              <c:numCache>
                <c:formatCode>General</c:formatCode>
                <c:ptCount val="3"/>
                <c:pt idx="0">
                  <c:v>108.39999999999995</c:v>
                </c:pt>
                <c:pt idx="1">
                  <c:v>14.899999999999999</c:v>
                </c:pt>
                <c:pt idx="2">
                  <c:v>98.399999999999991</c:v>
                </c:pt>
              </c:numCache>
            </c:numRef>
          </c:val>
          <c:extLst>
            <c:ext xmlns:c16="http://schemas.microsoft.com/office/drawing/2014/chart" uri="{C3380CC4-5D6E-409C-BE32-E72D297353CC}">
              <c16:uniqueId val="{00000000-6D36-4E3A-A222-2F32DB38F784}"/>
            </c:ext>
          </c:extLst>
        </c:ser>
        <c:dLbls>
          <c:showLegendKey val="0"/>
          <c:showVal val="0"/>
          <c:showCatName val="0"/>
          <c:showSerName val="0"/>
          <c:showPercent val="0"/>
          <c:showBubbleSize val="0"/>
        </c:dLbls>
        <c:gapWidth val="219"/>
        <c:overlap val="-27"/>
        <c:axId val="1235899119"/>
        <c:axId val="1235892399"/>
      </c:barChart>
      <c:catAx>
        <c:axId val="1235899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892399"/>
        <c:crosses val="autoZero"/>
        <c:auto val="1"/>
        <c:lblAlgn val="ctr"/>
        <c:lblOffset val="100"/>
        <c:noMultiLvlLbl val="0"/>
      </c:catAx>
      <c:valAx>
        <c:axId val="12358923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899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assignment week 1.xlsx]Sheet7!PivotTable37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rating versus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Sheet7!$B$18</c:f>
              <c:strCache>
                <c:ptCount val="1"/>
                <c:pt idx="0">
                  <c:v>Total</c:v>
                </c:pt>
              </c:strCache>
            </c:strRef>
          </c:tx>
          <c:spPr>
            <a:solidFill>
              <a:schemeClr val="accent2"/>
            </a:solidFill>
            <a:ln>
              <a:noFill/>
            </a:ln>
            <a:effectLst/>
          </c:spPr>
          <c:invertIfNegative val="0"/>
          <c:cat>
            <c:strRef>
              <c:f>Sheet7!$A$19:$A$22</c:f>
              <c:strCache>
                <c:ptCount val="3"/>
                <c:pt idx="0">
                  <c:v>Average</c:v>
                </c:pt>
                <c:pt idx="1">
                  <c:v>Excellent</c:v>
                </c:pt>
                <c:pt idx="2">
                  <c:v>poor</c:v>
                </c:pt>
              </c:strCache>
            </c:strRef>
          </c:cat>
          <c:val>
            <c:numRef>
              <c:f>Sheet7!$B$19:$B$22</c:f>
              <c:numCache>
                <c:formatCode>General</c:formatCode>
                <c:ptCount val="3"/>
                <c:pt idx="0">
                  <c:v>3</c:v>
                </c:pt>
                <c:pt idx="1">
                  <c:v>702</c:v>
                </c:pt>
                <c:pt idx="2">
                  <c:v>18</c:v>
                </c:pt>
              </c:numCache>
            </c:numRef>
          </c:val>
          <c:extLst>
            <c:ext xmlns:c16="http://schemas.microsoft.com/office/drawing/2014/chart" uri="{C3380CC4-5D6E-409C-BE32-E72D297353CC}">
              <c16:uniqueId val="{00000000-7EDE-470C-BBB7-ACF9B3F1E2D9}"/>
            </c:ext>
          </c:extLst>
        </c:ser>
        <c:dLbls>
          <c:showLegendKey val="0"/>
          <c:showVal val="0"/>
          <c:showCatName val="0"/>
          <c:showSerName val="0"/>
          <c:showPercent val="0"/>
          <c:showBubbleSize val="0"/>
        </c:dLbls>
        <c:gapWidth val="219"/>
        <c:overlap val="-27"/>
        <c:axId val="1862428272"/>
        <c:axId val="1862422992"/>
      </c:barChart>
      <c:catAx>
        <c:axId val="18624282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422992"/>
        <c:crosses val="autoZero"/>
        <c:auto val="1"/>
        <c:lblAlgn val="ctr"/>
        <c:lblOffset val="100"/>
        <c:noMultiLvlLbl val="0"/>
      </c:catAx>
      <c:valAx>
        <c:axId val="186242299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428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assignment week 1.xlsx]Sheet7!PivotTable38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products by rating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Sheet7!$B$31</c:f>
              <c:strCache>
                <c:ptCount val="1"/>
                <c:pt idx="0">
                  <c:v>Total</c:v>
                </c:pt>
              </c:strCache>
            </c:strRef>
          </c:tx>
          <c:spPr>
            <a:solidFill>
              <a:schemeClr val="accent2"/>
            </a:solidFill>
            <a:ln>
              <a:noFill/>
            </a:ln>
            <a:effectLst/>
          </c:spPr>
          <c:invertIfNegative val="0"/>
          <c:cat>
            <c:strRef>
              <c:f>Sheet7!$A$32:$A$35</c:f>
              <c:strCache>
                <c:ptCount val="3"/>
                <c:pt idx="0">
                  <c:v>Average</c:v>
                </c:pt>
                <c:pt idx="1">
                  <c:v>Excellent</c:v>
                </c:pt>
                <c:pt idx="2">
                  <c:v>poor</c:v>
                </c:pt>
              </c:strCache>
            </c:strRef>
          </c:cat>
          <c:val>
            <c:numRef>
              <c:f>Sheet7!$B$32:$B$35</c:f>
              <c:numCache>
                <c:formatCode>General</c:formatCode>
                <c:ptCount val="3"/>
                <c:pt idx="0">
                  <c:v>1</c:v>
                </c:pt>
                <c:pt idx="1">
                  <c:v>44</c:v>
                </c:pt>
                <c:pt idx="2">
                  <c:v>64</c:v>
                </c:pt>
              </c:numCache>
            </c:numRef>
          </c:val>
          <c:extLst>
            <c:ext xmlns:c16="http://schemas.microsoft.com/office/drawing/2014/chart" uri="{C3380CC4-5D6E-409C-BE32-E72D297353CC}">
              <c16:uniqueId val="{00000000-AF7C-416D-8C46-0DF9DED616E8}"/>
            </c:ext>
          </c:extLst>
        </c:ser>
        <c:dLbls>
          <c:showLegendKey val="0"/>
          <c:showVal val="0"/>
          <c:showCatName val="0"/>
          <c:showSerName val="0"/>
          <c:showPercent val="0"/>
          <c:showBubbleSize val="0"/>
        </c:dLbls>
        <c:gapWidth val="150"/>
        <c:overlap val="100"/>
        <c:axId val="1664575952"/>
        <c:axId val="1664583152"/>
      </c:barChart>
      <c:catAx>
        <c:axId val="166457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583152"/>
        <c:crosses val="autoZero"/>
        <c:auto val="1"/>
        <c:lblAlgn val="ctr"/>
        <c:lblOffset val="100"/>
        <c:noMultiLvlLbl val="0"/>
      </c:catAx>
      <c:valAx>
        <c:axId val="1664583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575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assignment week 1.xlsx]Sheet7!PivotTable39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products by discount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Sheet7!$B$47</c:f>
              <c:strCache>
                <c:ptCount val="1"/>
                <c:pt idx="0">
                  <c:v>Total</c:v>
                </c:pt>
              </c:strCache>
            </c:strRef>
          </c:tx>
          <c:spPr>
            <a:solidFill>
              <a:schemeClr val="accent2"/>
            </a:solidFill>
            <a:ln>
              <a:noFill/>
            </a:ln>
            <a:effectLst/>
          </c:spPr>
          <c:invertIfNegative val="0"/>
          <c:cat>
            <c:strRef>
              <c:f>Sheet7!$A$48:$A$51</c:f>
              <c:strCache>
                <c:ptCount val="3"/>
                <c:pt idx="0">
                  <c:v>High Discount</c:v>
                </c:pt>
                <c:pt idx="1">
                  <c:v>Low Discount</c:v>
                </c:pt>
                <c:pt idx="2">
                  <c:v>Medium Discount</c:v>
                </c:pt>
              </c:strCache>
            </c:strRef>
          </c:cat>
          <c:val>
            <c:numRef>
              <c:f>Sheet7!$B$48:$B$51</c:f>
              <c:numCache>
                <c:formatCode>General</c:formatCode>
                <c:ptCount val="3"/>
                <c:pt idx="0">
                  <c:v>59</c:v>
                </c:pt>
                <c:pt idx="1">
                  <c:v>18</c:v>
                </c:pt>
                <c:pt idx="2">
                  <c:v>32</c:v>
                </c:pt>
              </c:numCache>
            </c:numRef>
          </c:val>
          <c:extLst>
            <c:ext xmlns:c16="http://schemas.microsoft.com/office/drawing/2014/chart" uri="{C3380CC4-5D6E-409C-BE32-E72D297353CC}">
              <c16:uniqueId val="{00000000-9293-4130-BF0E-535906007A6E}"/>
            </c:ext>
          </c:extLst>
        </c:ser>
        <c:dLbls>
          <c:showLegendKey val="0"/>
          <c:showVal val="0"/>
          <c:showCatName val="0"/>
          <c:showSerName val="0"/>
          <c:showPercent val="0"/>
          <c:showBubbleSize val="0"/>
        </c:dLbls>
        <c:gapWidth val="219"/>
        <c:overlap val="-27"/>
        <c:axId val="1868069984"/>
        <c:axId val="1868055104"/>
      </c:barChart>
      <c:catAx>
        <c:axId val="186806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055104"/>
        <c:crosses val="autoZero"/>
        <c:auto val="1"/>
        <c:lblAlgn val="ctr"/>
        <c:lblOffset val="100"/>
        <c:noMultiLvlLbl val="0"/>
      </c:catAx>
      <c:valAx>
        <c:axId val="18680551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069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27</xdr:row>
      <xdr:rowOff>0</xdr:rowOff>
    </xdr:from>
    <xdr:to>
      <xdr:col>4</xdr:col>
      <xdr:colOff>362298</xdr:colOff>
      <xdr:row>28</xdr:row>
      <xdr:rowOff>19159</xdr:rowOff>
    </xdr:to>
    <xdr:pic>
      <xdr:nvPicPr>
        <xdr:cNvPr id="2" name="Picture 1">
          <a:extLst>
            <a:ext uri="{FF2B5EF4-FFF2-40B4-BE49-F238E27FC236}">
              <a16:creationId xmlns:a16="http://schemas.microsoft.com/office/drawing/2014/main" id="{1EDAC206-65E8-DB4F-A72D-E99846F259C0}"/>
            </a:ext>
          </a:extLst>
        </xdr:cNvPr>
        <xdr:cNvPicPr>
          <a:picLocks noChangeAspect="1"/>
        </xdr:cNvPicPr>
      </xdr:nvPicPr>
      <xdr:blipFill>
        <a:blip xmlns:r="http://schemas.openxmlformats.org/officeDocument/2006/relationships" r:embed="rId1"/>
        <a:stretch>
          <a:fillRect/>
        </a:stretch>
      </xdr:blipFill>
      <xdr:spPr>
        <a:xfrm>
          <a:off x="4314825" y="6096000"/>
          <a:ext cx="2495898" cy="781159"/>
        </a:xfrm>
        <a:prstGeom prst="rect">
          <a:avLst/>
        </a:prstGeom>
      </xdr:spPr>
    </xdr:pic>
    <xdr:clientData/>
  </xdr:twoCellAnchor>
  <xdr:twoCellAnchor editAs="oneCell">
    <xdr:from>
      <xdr:col>1</xdr:col>
      <xdr:colOff>0</xdr:colOff>
      <xdr:row>29</xdr:row>
      <xdr:rowOff>0</xdr:rowOff>
    </xdr:from>
    <xdr:to>
      <xdr:col>4</xdr:col>
      <xdr:colOff>267035</xdr:colOff>
      <xdr:row>29</xdr:row>
      <xdr:rowOff>752475</xdr:rowOff>
    </xdr:to>
    <xdr:pic>
      <xdr:nvPicPr>
        <xdr:cNvPr id="3" name="Picture 2">
          <a:extLst>
            <a:ext uri="{FF2B5EF4-FFF2-40B4-BE49-F238E27FC236}">
              <a16:creationId xmlns:a16="http://schemas.microsoft.com/office/drawing/2014/main" id="{36961356-732C-D48B-9793-28E0F4A1626E}"/>
            </a:ext>
          </a:extLst>
        </xdr:cNvPr>
        <xdr:cNvPicPr>
          <a:picLocks noChangeAspect="1"/>
        </xdr:cNvPicPr>
      </xdr:nvPicPr>
      <xdr:blipFill>
        <a:blip xmlns:r="http://schemas.openxmlformats.org/officeDocument/2006/relationships" r:embed="rId2"/>
        <a:stretch>
          <a:fillRect/>
        </a:stretch>
      </xdr:blipFill>
      <xdr:spPr>
        <a:xfrm>
          <a:off x="4314825" y="7048500"/>
          <a:ext cx="2400635" cy="7524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2</xdr:row>
      <xdr:rowOff>133349</xdr:rowOff>
    </xdr:from>
    <xdr:to>
      <xdr:col>24</xdr:col>
      <xdr:colOff>457200</xdr:colOff>
      <xdr:row>19</xdr:row>
      <xdr:rowOff>180974</xdr:rowOff>
    </xdr:to>
    <xdr:graphicFrame macro="">
      <xdr:nvGraphicFramePr>
        <xdr:cNvPr id="4" name="Chart 3">
          <a:extLst>
            <a:ext uri="{FF2B5EF4-FFF2-40B4-BE49-F238E27FC236}">
              <a16:creationId xmlns:a16="http://schemas.microsoft.com/office/drawing/2014/main" id="{03860294-A86E-4147-02BA-3A4C04E9E8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9525</xdr:colOff>
      <xdr:row>17</xdr:row>
      <xdr:rowOff>28574</xdr:rowOff>
    </xdr:from>
    <xdr:to>
      <xdr:col>5</xdr:col>
      <xdr:colOff>323850</xdr:colOff>
      <xdr:row>27</xdr:row>
      <xdr:rowOff>152399</xdr:rowOff>
    </xdr:to>
    <xdr:graphicFrame macro="">
      <xdr:nvGraphicFramePr>
        <xdr:cNvPr id="3" name="Chart 2">
          <a:extLst>
            <a:ext uri="{FF2B5EF4-FFF2-40B4-BE49-F238E27FC236}">
              <a16:creationId xmlns:a16="http://schemas.microsoft.com/office/drawing/2014/main" id="{01E49384-03FD-14EA-DCAE-634CF85773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28575</xdr:colOff>
      <xdr:row>29</xdr:row>
      <xdr:rowOff>133350</xdr:rowOff>
    </xdr:from>
    <xdr:to>
      <xdr:col>7</xdr:col>
      <xdr:colOff>123825</xdr:colOff>
      <xdr:row>44</xdr:row>
      <xdr:rowOff>19050</xdr:rowOff>
    </xdr:to>
    <xdr:graphicFrame macro="">
      <xdr:nvGraphicFramePr>
        <xdr:cNvPr id="4" name="Chart 3">
          <a:extLst>
            <a:ext uri="{FF2B5EF4-FFF2-40B4-BE49-F238E27FC236}">
              <a16:creationId xmlns:a16="http://schemas.microsoft.com/office/drawing/2014/main" id="{6CE706C2-AB2E-8974-89C0-8B3101CC9E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38100</xdr:colOff>
      <xdr:row>44</xdr:row>
      <xdr:rowOff>104775</xdr:rowOff>
    </xdr:from>
    <xdr:to>
      <xdr:col>7</xdr:col>
      <xdr:colOff>133350</xdr:colOff>
      <xdr:row>58</xdr:row>
      <xdr:rowOff>180975</xdr:rowOff>
    </xdr:to>
    <xdr:graphicFrame macro="">
      <xdr:nvGraphicFramePr>
        <xdr:cNvPr id="5" name="Chart 4">
          <a:extLst>
            <a:ext uri="{FF2B5EF4-FFF2-40B4-BE49-F238E27FC236}">
              <a16:creationId xmlns:a16="http://schemas.microsoft.com/office/drawing/2014/main" id="{677E5526-9A9C-D137-8ADD-6B34F31176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133350</xdr:colOff>
      <xdr:row>2</xdr:row>
      <xdr:rowOff>47625</xdr:rowOff>
    </xdr:from>
    <xdr:to>
      <xdr:col>6</xdr:col>
      <xdr:colOff>57150</xdr:colOff>
      <xdr:row>14</xdr:row>
      <xdr:rowOff>28575</xdr:rowOff>
    </xdr:to>
    <xdr:graphicFrame macro="">
      <xdr:nvGraphicFramePr>
        <xdr:cNvPr id="6" name="Chart 5">
          <a:extLst>
            <a:ext uri="{FF2B5EF4-FFF2-40B4-BE49-F238E27FC236}">
              <a16:creationId xmlns:a16="http://schemas.microsoft.com/office/drawing/2014/main" id="{187C26E8-E4D5-EB00-18A4-AB83B363C5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xdr:colOff>
      <xdr:row>0</xdr:row>
      <xdr:rowOff>31750</xdr:rowOff>
    </xdr:from>
    <xdr:to>
      <xdr:col>19</xdr:col>
      <xdr:colOff>571500</xdr:colOff>
      <xdr:row>25</xdr:row>
      <xdr:rowOff>12700</xdr:rowOff>
    </xdr:to>
    <xdr:sp macro="" textlink="">
      <xdr:nvSpPr>
        <xdr:cNvPr id="9" name="Rectangle 8">
          <a:extLst>
            <a:ext uri="{FF2B5EF4-FFF2-40B4-BE49-F238E27FC236}">
              <a16:creationId xmlns:a16="http://schemas.microsoft.com/office/drawing/2014/main" id="{DE41B61A-E01F-3A38-803C-0D4AEB9B1BC8}"/>
            </a:ext>
          </a:extLst>
        </xdr:cNvPr>
        <xdr:cNvSpPr/>
      </xdr:nvSpPr>
      <xdr:spPr>
        <a:xfrm>
          <a:off x="19050" y="31750"/>
          <a:ext cx="12134850" cy="4584700"/>
        </a:xfrm>
        <a:prstGeom prst="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0</xdr:colOff>
      <xdr:row>1</xdr:row>
      <xdr:rowOff>171450</xdr:rowOff>
    </xdr:from>
    <xdr:to>
      <xdr:col>8</xdr:col>
      <xdr:colOff>133350</xdr:colOff>
      <xdr:row>13</xdr:row>
      <xdr:rowOff>171450</xdr:rowOff>
    </xdr:to>
    <xdr:graphicFrame macro="">
      <xdr:nvGraphicFramePr>
        <xdr:cNvPr id="2" name="Chart 1">
          <a:extLst>
            <a:ext uri="{FF2B5EF4-FFF2-40B4-BE49-F238E27FC236}">
              <a16:creationId xmlns:a16="http://schemas.microsoft.com/office/drawing/2014/main" id="{A2AA70D4-F8A9-4F89-9DCB-7ED2F7492D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9525</xdr:colOff>
      <xdr:row>14</xdr:row>
      <xdr:rowOff>0</xdr:rowOff>
    </xdr:from>
    <xdr:to>
      <xdr:col>8</xdr:col>
      <xdr:colOff>133350</xdr:colOff>
      <xdr:row>24</xdr:row>
      <xdr:rowOff>123825</xdr:rowOff>
    </xdr:to>
    <xdr:graphicFrame macro="">
      <xdr:nvGraphicFramePr>
        <xdr:cNvPr id="3" name="Chart 2">
          <a:extLst>
            <a:ext uri="{FF2B5EF4-FFF2-40B4-BE49-F238E27FC236}">
              <a16:creationId xmlns:a16="http://schemas.microsoft.com/office/drawing/2014/main" id="{0F14C289-592F-43BB-A90B-1A9324AE55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161925</xdr:colOff>
      <xdr:row>1</xdr:row>
      <xdr:rowOff>88901</xdr:rowOff>
    </xdr:from>
    <xdr:to>
      <xdr:col>14</xdr:col>
      <xdr:colOff>542925</xdr:colOff>
      <xdr:row>13</xdr:row>
      <xdr:rowOff>171451</xdr:rowOff>
    </xdr:to>
    <xdr:graphicFrame macro="">
      <xdr:nvGraphicFramePr>
        <xdr:cNvPr id="4" name="Chart 3">
          <a:extLst>
            <a:ext uri="{FF2B5EF4-FFF2-40B4-BE49-F238E27FC236}">
              <a16:creationId xmlns:a16="http://schemas.microsoft.com/office/drawing/2014/main" id="{4D70B5E6-64BB-4AD8-B324-A9B592D089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180975</xdr:colOff>
      <xdr:row>14</xdr:row>
      <xdr:rowOff>19050</xdr:rowOff>
    </xdr:from>
    <xdr:to>
      <xdr:col>14</xdr:col>
      <xdr:colOff>533400</xdr:colOff>
      <xdr:row>24</xdr:row>
      <xdr:rowOff>152400</xdr:rowOff>
    </xdr:to>
    <xdr:graphicFrame macro="">
      <xdr:nvGraphicFramePr>
        <xdr:cNvPr id="5" name="Chart 4">
          <a:extLst>
            <a:ext uri="{FF2B5EF4-FFF2-40B4-BE49-F238E27FC236}">
              <a16:creationId xmlns:a16="http://schemas.microsoft.com/office/drawing/2014/main" id="{79C3601B-0B4F-4354-A405-DE90427551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66675</xdr:rowOff>
    </xdr:from>
    <xdr:to>
      <xdr:col>1</xdr:col>
      <xdr:colOff>590550</xdr:colOff>
      <xdr:row>7</xdr:row>
      <xdr:rowOff>47625</xdr:rowOff>
    </xdr:to>
    <mc:AlternateContent xmlns:mc="http://schemas.openxmlformats.org/markup-compatibility/2006" xmlns:a14="http://schemas.microsoft.com/office/drawing/2010/main">
      <mc:Choice Requires="a14">
        <xdr:graphicFrame macro="">
          <xdr:nvGraphicFramePr>
            <xdr:cNvPr id="7" name="Rating category">
              <a:extLst>
                <a:ext uri="{FF2B5EF4-FFF2-40B4-BE49-F238E27FC236}">
                  <a16:creationId xmlns:a16="http://schemas.microsoft.com/office/drawing/2014/main" id="{DA1EE27B-4B47-E9BE-C838-B5EE57E2858C}"/>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0" y="66675"/>
              <a:ext cx="1200150" cy="1314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7</xdr:row>
      <xdr:rowOff>9525</xdr:rowOff>
    </xdr:from>
    <xdr:to>
      <xdr:col>2</xdr:col>
      <xdr:colOff>9525</xdr:colOff>
      <xdr:row>13</xdr:row>
      <xdr:rowOff>142875</xdr:rowOff>
    </xdr:to>
    <mc:AlternateContent xmlns:mc="http://schemas.openxmlformats.org/markup-compatibility/2006" xmlns:a14="http://schemas.microsoft.com/office/drawing/2010/main">
      <mc:Choice Requires="a14">
        <xdr:graphicFrame macro="">
          <xdr:nvGraphicFramePr>
            <xdr:cNvPr id="10" name="Discount  category">
              <a:extLst>
                <a:ext uri="{FF2B5EF4-FFF2-40B4-BE49-F238E27FC236}">
                  <a16:creationId xmlns:a16="http://schemas.microsoft.com/office/drawing/2014/main" id="{0DCB4B9E-8FC7-A593-72E4-2A254754274F}"/>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19050" y="1343025"/>
              <a:ext cx="1209675" cy="1276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590550</xdr:colOff>
      <xdr:row>1</xdr:row>
      <xdr:rowOff>82550</xdr:rowOff>
    </xdr:from>
    <xdr:to>
      <xdr:col>8</xdr:col>
      <xdr:colOff>120650</xdr:colOff>
      <xdr:row>13</xdr:row>
      <xdr:rowOff>127000</xdr:rowOff>
    </xdr:to>
    <xdr:sp macro="" textlink="">
      <xdr:nvSpPr>
        <xdr:cNvPr id="8" name="Rectangle 7">
          <a:extLst>
            <a:ext uri="{FF2B5EF4-FFF2-40B4-BE49-F238E27FC236}">
              <a16:creationId xmlns:a16="http://schemas.microsoft.com/office/drawing/2014/main" id="{C7DD5C18-BCB0-9606-A311-4E4E6EE29644}"/>
            </a:ext>
          </a:extLst>
        </xdr:cNvPr>
        <xdr:cNvSpPr/>
      </xdr:nvSpPr>
      <xdr:spPr>
        <a:xfrm>
          <a:off x="1200150" y="266700"/>
          <a:ext cx="3797300" cy="2254250"/>
        </a:xfrm>
        <a:prstGeom prst="rect">
          <a:avLst/>
        </a:prstGeom>
        <a:no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607519</xdr:colOff>
      <xdr:row>0</xdr:row>
      <xdr:rowOff>65580</xdr:rowOff>
    </xdr:from>
    <xdr:to>
      <xdr:col>7</xdr:col>
      <xdr:colOff>399612</xdr:colOff>
      <xdr:row>1</xdr:row>
      <xdr:rowOff>169698</xdr:rowOff>
    </xdr:to>
    <xdr:sp macro="" textlink="">
      <xdr:nvSpPr>
        <xdr:cNvPr id="6" name="TextBox 5">
          <a:extLst>
            <a:ext uri="{FF2B5EF4-FFF2-40B4-BE49-F238E27FC236}">
              <a16:creationId xmlns:a16="http://schemas.microsoft.com/office/drawing/2014/main" id="{7E7B2D68-24FE-A47D-19C2-CD93F394DB47}"/>
            </a:ext>
          </a:extLst>
        </xdr:cNvPr>
        <xdr:cNvSpPr txBox="1"/>
      </xdr:nvSpPr>
      <xdr:spPr>
        <a:xfrm>
          <a:off x="1215148" y="65580"/>
          <a:ext cx="3437869" cy="2902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baseline="0">
              <a:solidFill>
                <a:sysClr val="windowText" lastClr="000000"/>
              </a:solidFill>
              <a:latin typeface="+mn-lt"/>
              <a:ea typeface="+mn-ea"/>
              <a:cs typeface="+mn-cs"/>
            </a:rPr>
            <a:t>Jumia Product Performance Dashboard</a:t>
          </a:r>
          <a:r>
            <a:rPr lang="en-US" sz="1400" b="1">
              <a:solidFill>
                <a:sysClr val="windowText" lastClr="000000"/>
              </a:solidFill>
            </a:rPr>
            <a:t> </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vid Githiomi" refreshedDate="46106.525348726849" createdVersion="8" refreshedVersion="8" minRefreshableVersion="3" recordCount="109" xr:uid="{FC27DFC0-F331-4F8A-89F0-EF01C398858E}">
  <cacheSource type="worksheet">
    <worksheetSource ref="A1:I110" sheet="WORKING"/>
  </cacheSource>
  <cacheFields count="9">
    <cacheField name="Product" numFmtId="0">
      <sharedItems/>
    </cacheField>
    <cacheField name="Current price" numFmtId="2">
      <sharedItems containsSemiMixedTypes="0" containsString="0" containsNumber="1" containsInteger="1" minValue="38" maxValue="3750"/>
    </cacheField>
    <cacheField name="old price" numFmtId="2">
      <sharedItems containsSemiMixedTypes="0" containsString="0" containsNumber="1" containsInteger="1" minValue="80" maxValue="6143"/>
    </cacheField>
    <cacheField name="Discount amnt" numFmtId="2">
      <sharedItems containsSemiMixedTypes="0" containsString="0" containsNumber="1" containsInteger="1" minValue="24" maxValue="2585"/>
    </cacheField>
    <cacheField name="Discount %" numFmtId="9">
      <sharedItems containsSemiMixedTypes="0" containsString="0" containsNumber="1" minValue="0.01" maxValue="0.64" count="46">
        <n v="0.4"/>
        <n v="0.46"/>
        <n v="0.49"/>
        <n v="0.21"/>
        <n v="0.5"/>
        <n v="0.38"/>
        <n v="0.37"/>
        <n v="0.51"/>
        <n v="0.53"/>
        <n v="0.33"/>
        <n v="0.26"/>
        <n v="0.55000000000000004"/>
        <n v="0.45"/>
        <n v="0.19"/>
        <n v="0.39"/>
        <n v="0.28999999999999998"/>
        <n v="0.43"/>
        <n v="0.42"/>
        <n v="0.35"/>
        <n v="0.13"/>
        <n v="0.47"/>
        <n v="0.54"/>
        <n v="0.52"/>
        <n v="0.48"/>
        <n v="0.2"/>
        <n v="0.18"/>
        <n v="0.34"/>
        <n v="0.32"/>
        <n v="0.23"/>
        <n v="0.09"/>
        <n v="0.22"/>
        <n v="0.3"/>
        <n v="0.27"/>
        <n v="0.25"/>
        <n v="0.41"/>
        <n v="0.24"/>
        <n v="0.02"/>
        <n v="0.61"/>
        <n v="0.03"/>
        <n v="0.04"/>
        <n v="0.36"/>
        <n v="0.14000000000000001"/>
        <n v="0.11"/>
        <n v="0.08"/>
        <n v="0.01"/>
        <n v="0.64"/>
      </sharedItems>
    </cacheField>
    <cacheField name="No of Review" numFmtId="0">
      <sharedItems containsSemiMixedTypes="0" containsString="0" containsNumber="1" containsInteger="1" minValue="0" maxValue="69"/>
    </cacheField>
    <cacheField name="Ratings" numFmtId="0">
      <sharedItems containsSemiMixedTypes="0" containsString="0" containsNumber="1" minValue="0" maxValue="5" count="23">
        <n v="5"/>
        <n v="3"/>
        <n v="4"/>
        <n v="2"/>
        <n v="4.5"/>
        <n v="4.8"/>
        <n v="3.8"/>
        <n v="4.5999999999999996"/>
        <n v="2.5"/>
        <n v="2.2000000000000002"/>
        <n v="2.2999999999999998"/>
        <n v="4.7"/>
        <n v="4.3"/>
        <n v="2.1"/>
        <n v="4.2"/>
        <n v="4.0999999999999996"/>
        <n v="3.3"/>
        <n v="4.4000000000000004"/>
        <n v="2.7"/>
        <n v="2.9"/>
        <n v="2.6"/>
        <n v="2.8"/>
        <n v="0"/>
      </sharedItems>
    </cacheField>
    <cacheField name="Rating category" numFmtId="0">
      <sharedItems/>
    </cacheField>
    <cacheField name="Discount  category"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vid Githiomi" refreshedDate="46106.532004166664" createdVersion="8" refreshedVersion="8" minRefreshableVersion="3" recordCount="109" xr:uid="{2FAD164D-AACE-427B-96EB-DB2682F8BAFB}">
  <cacheSource type="worksheet">
    <worksheetSource name="Table1"/>
  </cacheSource>
  <cacheFields count="9">
    <cacheField name="Product" numFmtId="0">
      <sharedItems count="109">
        <s v="DIY File Folder, Office Drawer File Holder, Pen Holder, Desktop Storage Rack"/>
        <s v="Memory Foam Neck Pillow Cover, With Pillow Core - 50*30cm"/>
        <s v="Bedroom Simple Floor Hanging Clothes Rack Single Pole Hat Rack - White"/>
        <s v="Household Pineapple Peeler Peeler"/>
        <s v="Konka Healty Electric Kettle, 24-hour Heat Preservation,1.5L,800W, White"/>
        <s v="Wall-mounted Sticker Punch-free Plug Fixer"/>
        <s v="115  Piece Set Of Multifunctional Precision Screwdrivers"/>
        <s v="Desk Foldable Fan Adjustable Fan Strong Wind 3 Gear Usb"/>
        <s v="Anti-Skid Absorbent Insulation Coaster  For Home Office"/>
        <s v="Peacock  Throw Pillow Cushion Case For Home Car"/>
        <s v="Classic Black Cat Cotton Hemp Pillow Case For Home Car"/>
        <s v="1/2/3 Seater Elastic Sofa Cover,Living Room/Home Decor Chair Cover-Grey"/>
        <s v="LASA Aluminum Folding Truck Hand Cart - 68kg Max"/>
        <s v="Portable Home Small Air Humidifier 3-Speed Fan - Green"/>
        <s v="LASA FOLDING TABLE SERVING STAND"/>
        <s v="13 In 1 Home Repair Tools Box Kit Set"/>
        <s v="LED Wall Digital Alarm Clock Study Home 12 / 24H Clock Calendar"/>
        <s v="32PCS Portable Cordless Drill Set With Cyclic Battery Drive -26 Variable Speed"/>
        <s v="Large Lazy Inflatable Sofa Chairs PVC Lounger Seat Bag"/>
        <s v="Wrought Iron Bathroom Shelf Wall Mounted Free Punch Toilet Rack"/>
        <s v="LASA Digital Thermometer And Hydrometer"/>
        <s v="LED Romantic Spaceship Starry Sky Projector,Children's Bedroom Night Light-Blue"/>
        <s v="5 Pieces/set Of Stainless Steel Induction Cooker Pots"/>
        <s v="Artificial Potted Flowers Room Decorative Flowers (2 Pieces)"/>
        <s v="Watercolour Gold Foil Textured Print Pillow Cover"/>
        <s v="7-piece Set Of Storage Bags, Travel Storage Bags, Shoe Bags"/>
        <s v="Weighing Scale Digital Bathroom Body Fat Scale USB-Black"/>
        <s v="LASA 3 Tier Bamboo Shoe Bench Storage Shelf"/>
        <s v="380ML USB Rechargeable Portable Small Blenders And Juicers"/>
        <s v="Electric LED UV Mosquito Killer Lamp, Outdoor/Indoor Fly Killer Trap Light -USB"/>
        <s v="Multifunction Laser Level With Adjustment Tripod"/>
        <s v="Exfoliate And Exfoliate Face Towel - Black"/>
        <s v="LED Eye Protection  Desk Lamp , Study, Reading, USB Fan - Double Pen Holder"/>
        <s v="Mythco 120COB Solar Wall Ligt With Motion Sensor And Remote Control 3 Modes"/>
        <s v="Genebre 115 In 1 Screwdriver Repairing Tool Set For IPhone Cellphone Hand Tool"/>
        <s v="40cm Gold DIY Acrylic Wall Sticker Clock"/>
        <s v="Portable Wardrobe Nonwoven With 3 Hanging Rods And 6 Storage Shelves"/>
        <s v="12 Litre Insulated Lunch Box Grey"/>
        <s v="3PCS Single Head Knitting Crochet Sweater Needle Set"/>
        <s v="12 Litre Black Insulated Lunch Box"/>
        <s v="5-PCS Stainless Steel Cooking Pot Set With Steamed Slices"/>
        <s v="Metal Decorative Hooks Key Hangers Entryway Wall Hooks Towel Hooks - Home"/>
        <s v="Foldable Overbed Table/Desk"/>
        <s v="220V 60W Electric Soldering Iron Kits With Tools, Tips, And Multimeter"/>
        <s v="Intelligent  LED Body Sensor Wireless Lighting Night Light USB"/>
        <s v="VIC Wireless Vacuum Cleaner Dual Use For Home And Car 120W High Power Powerful"/>
        <s v="Agapeon Toothbrush Holder And Toothpaste Dispenser"/>
        <s v="52 Pieces Cake Decorating Tool Set Gift Kit Baking Supplies"/>
        <s v="53Pcs/Set Yarn Knitting Crochet Hooks With Bag - Fortune Cat"/>
        <s v="Portable Mini Cordless Car Vacuum Cleaner - Blue"/>
        <s v="53 Pieces/Set Yarn Knitting Crochet Hooks With Bag - Pansies"/>
        <s v="Punch-free Great Load Bearing Bathroom Storage Rack Wall Shelf-White"/>
        <s v="100 Pcs Crochet Hook Tool Set Knitting Hook Set With Box"/>
        <s v="3D Waterproof EVA Plastic Shower Curtain 1.8*2Mtrs"/>
        <s v="Electronic Digital Display Vernier Caliper"/>
        <s v="137 Pieces Cake Decorating Tool Set Baking Supplies"/>
        <s v="120W Cordless Vacuum Cleaners Handheld Electric Vacuum Cleaner"/>
        <s v="4pcs Bathroom/Kitchen Towel Rack,Roll Paper Holder,Towel Bars,Hook"/>
        <s v="MultiFunctional Storage Rack Multi-layer Bookshelf"/>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2PCS/LOT Solar LED Outdoor Intelligent Light Controlled Wall Lamp"/>
        <s v="3PCS Rotary Scraper Thermomix For Kitchen"/>
        <s v="Cushion Silicone Butt Cushion Summer Ice Cushion Honeycomb Gel Cushion"/>
        <s v="7PCS Silicone Thumb Knife Finger Protector Vegetable Harvesting Knife"/>
        <s v="5m Waterproof Spherical LED String Lights Outdoor Ball Chain Lights Party Lighting Decoration Adjustable"/>
        <s v="2 Pairs Cowhide Split Leather Work Gloves.32â„‰ Or Above Welding Gloves"/>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Black Simple Water Cup Wine Coaster Anti Slip Absorbent"/>
      </sharedItems>
    </cacheField>
    <cacheField name="Current price" numFmtId="2">
      <sharedItems containsSemiMixedTypes="0" containsString="0" containsNumber="1" containsInteger="1" minValue="38" maxValue="3750"/>
    </cacheField>
    <cacheField name="old price" numFmtId="2">
      <sharedItems containsSemiMixedTypes="0" containsString="0" containsNumber="1" containsInteger="1" minValue="80" maxValue="6143"/>
    </cacheField>
    <cacheField name="Discount amnt" numFmtId="2">
      <sharedItems containsSemiMixedTypes="0" containsString="0" containsNumber="1" containsInteger="1" minValue="24" maxValue="2585" count="100">
        <n v="1070"/>
        <n v="1010"/>
        <n v="941"/>
        <n v="317"/>
        <n v="948"/>
        <n v="450"/>
        <n v="575"/>
        <n v="592"/>
        <n v="352"/>
        <n v="165"/>
        <n v="189"/>
        <n v="900"/>
        <n v="1946"/>
        <n v="616"/>
        <n v="1526"/>
        <n v="1329"/>
        <n v="700"/>
        <n v="2393"/>
        <n v="940"/>
        <n v="390"/>
        <n v="359"/>
        <n v="470"/>
        <n v="330"/>
        <n v="824"/>
        <n v="257"/>
        <n v="846"/>
        <n v="919"/>
        <n v="2452"/>
        <n v="1000"/>
        <n v="1418"/>
        <n v="819"/>
        <n v="197"/>
        <n v="1670"/>
        <n v="528"/>
        <n v="200"/>
        <n v="483"/>
        <n v="640"/>
        <n v="510"/>
        <n v="42"/>
        <n v="2585"/>
        <n v="472"/>
        <n v="500"/>
        <n v="291"/>
        <n v="355"/>
        <n v="335"/>
        <n v="318"/>
        <n v="741"/>
        <n v="710"/>
        <n v="724"/>
        <n v="719"/>
        <n v="267"/>
        <n v="968"/>
        <n v="227"/>
        <n v="713"/>
        <n v="428"/>
        <n v="1360"/>
        <n v="1880"/>
        <n v="1721"/>
        <n v="456"/>
        <n v="238"/>
        <n v="37"/>
        <n v="1001"/>
        <n v="595"/>
        <n v="645"/>
        <n v="750"/>
        <n v="305"/>
        <n v="301"/>
        <n v="39"/>
        <n v="85"/>
        <n v="40"/>
        <n v="544"/>
        <n v="401"/>
        <n v="644"/>
        <n v="768"/>
        <n v="1011"/>
        <n v="695"/>
        <n v="67"/>
        <n v="220"/>
        <n v="830"/>
        <n v="33"/>
        <n v="233"/>
        <n v="263"/>
        <n v="101"/>
        <n v="231"/>
        <n v="850"/>
        <n v="1200"/>
        <n v="95"/>
        <n v="800"/>
        <n v="134"/>
        <n v="153"/>
        <n v="504"/>
        <n v="794"/>
        <n v="24"/>
        <n v="62"/>
        <n v="587"/>
        <n v="620"/>
        <n v="41"/>
        <n v="31"/>
        <n v="354"/>
        <n v="151"/>
      </sharedItems>
    </cacheField>
    <cacheField name="Discount %" numFmtId="9">
      <sharedItems containsSemiMixedTypes="0" containsString="0" containsNumber="1" minValue="0.01" maxValue="0.64" count="46">
        <n v="0.4"/>
        <n v="0.46"/>
        <n v="0.49"/>
        <n v="0.21"/>
        <n v="0.5"/>
        <n v="0.38"/>
        <n v="0.37"/>
        <n v="0.51"/>
        <n v="0.53"/>
        <n v="0.33"/>
        <n v="0.26"/>
        <n v="0.55000000000000004"/>
        <n v="0.45"/>
        <n v="0.19"/>
        <n v="0.39"/>
        <n v="0.28999999999999998"/>
        <n v="0.43"/>
        <n v="0.42"/>
        <n v="0.35"/>
        <n v="0.13"/>
        <n v="0.47"/>
        <n v="0.54"/>
        <n v="0.52"/>
        <n v="0.48"/>
        <n v="0.2"/>
        <n v="0.18"/>
        <n v="0.34"/>
        <n v="0.32"/>
        <n v="0.23"/>
        <n v="0.09"/>
        <n v="0.22"/>
        <n v="0.3"/>
        <n v="0.27"/>
        <n v="0.25"/>
        <n v="0.41"/>
        <n v="0.24"/>
        <n v="0.02"/>
        <n v="0.61"/>
        <n v="0.03"/>
        <n v="0.04"/>
        <n v="0.36"/>
        <n v="0.14000000000000001"/>
        <n v="0.11"/>
        <n v="0.08"/>
        <n v="0.01"/>
        <n v="0.64"/>
      </sharedItems>
    </cacheField>
    <cacheField name="No of Review" numFmtId="0">
      <sharedItems containsSemiMixedTypes="0" containsString="0" containsNumber="1" containsInteger="1" minValue="0" maxValue="69" count="24">
        <n v="1"/>
        <n v="2"/>
        <n v="3"/>
        <n v="5"/>
        <n v="6"/>
        <n v="7"/>
        <n v="9"/>
        <n v="10"/>
        <n v="12"/>
        <n v="13"/>
        <n v="14"/>
        <n v="15"/>
        <n v="16"/>
        <n v="17"/>
        <n v="20"/>
        <n v="24"/>
        <n v="32"/>
        <n v="36"/>
        <n v="39"/>
        <n v="44"/>
        <n v="49"/>
        <n v="55"/>
        <n v="69"/>
        <n v="0"/>
      </sharedItems>
    </cacheField>
    <cacheField name="Ratings" numFmtId="0">
      <sharedItems containsSemiMixedTypes="0" containsString="0" containsNumber="1" minValue="0" maxValue="5" count="23">
        <n v="5"/>
        <n v="3"/>
        <n v="4"/>
        <n v="2"/>
        <n v="4.5"/>
        <n v="4.8"/>
        <n v="3.8"/>
        <n v="4.5999999999999996"/>
        <n v="2.5"/>
        <n v="2.2000000000000002"/>
        <n v="2.2999999999999998"/>
        <n v="4.7"/>
        <n v="4.3"/>
        <n v="2.1"/>
        <n v="4.2"/>
        <n v="4.0999999999999996"/>
        <n v="3.3"/>
        <n v="4.4000000000000004"/>
        <n v="2.7"/>
        <n v="2.9"/>
        <n v="2.6"/>
        <n v="2.8"/>
        <n v="0"/>
      </sharedItems>
    </cacheField>
    <cacheField name="Rating category" numFmtId="0">
      <sharedItems count="3">
        <s v="poor"/>
        <s v="Average"/>
        <s v="Excellent"/>
      </sharedItems>
    </cacheField>
    <cacheField name="Discount  category" numFmtId="0">
      <sharedItems count="3">
        <s v="Medium Discount"/>
        <s v="High Discount"/>
        <s v="Low Discount"/>
      </sharedItems>
    </cacheField>
  </cacheFields>
  <extLst>
    <ext xmlns:x14="http://schemas.microsoft.com/office/spreadsheetml/2009/9/main" uri="{725AE2AE-9491-48be-B2B4-4EB974FC3084}">
      <x14:pivotCacheDefinition pivotCacheId="14608673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
  <r>
    <s v="DIY File Folder, Office Drawer File Holder, Pen Holder, Desktop Storage Rack"/>
    <n v="1620"/>
    <n v="2690"/>
    <n v="1070"/>
    <x v="0"/>
    <n v="1"/>
    <x v="0"/>
    <s v="poor"/>
    <s v="Medium Discount"/>
  </r>
  <r>
    <s v="Memory Foam Neck Pillow Cover, With Pillow Core - 50*30cm"/>
    <n v="1189"/>
    <n v="2199"/>
    <n v="1010"/>
    <x v="1"/>
    <n v="1"/>
    <x v="1"/>
    <s v="poor"/>
    <s v="High Discount"/>
  </r>
  <r>
    <s v="Bedroom Simple Floor Hanging Clothes Rack Single Pole Hat Rack - White"/>
    <n v="979"/>
    <n v="1920"/>
    <n v="941"/>
    <x v="2"/>
    <n v="1"/>
    <x v="0"/>
    <s v="poor"/>
    <s v="High Discount"/>
  </r>
  <r>
    <s v="Household Pineapple Peeler Peeler"/>
    <n v="330"/>
    <n v="647"/>
    <n v="317"/>
    <x v="2"/>
    <n v="1"/>
    <x v="2"/>
    <s v="poor"/>
    <s v="High Discount"/>
  </r>
  <r>
    <s v="Konka Healty Electric Kettle, 24-hour Heat Preservation,1.5L,800W, White"/>
    <n v="3640"/>
    <n v="4588"/>
    <n v="948"/>
    <x v="3"/>
    <n v="1"/>
    <x v="0"/>
    <s v="poor"/>
    <s v="Medium Discount"/>
  </r>
  <r>
    <s v="Wall-mounted Sticker Punch-free Plug Fixer"/>
    <n v="450"/>
    <n v="900"/>
    <n v="450"/>
    <x v="4"/>
    <n v="1"/>
    <x v="3"/>
    <s v="poor"/>
    <s v="High Discount"/>
  </r>
  <r>
    <s v="115  Piece Set Of Multifunctional Precision Screwdrivers"/>
    <n v="950"/>
    <n v="1525"/>
    <n v="575"/>
    <x v="5"/>
    <n v="2"/>
    <x v="4"/>
    <s v="poor"/>
    <s v="Medium Discount"/>
  </r>
  <r>
    <s v="Desk Foldable Fan Adjustable Fan Strong Wind 3 Gear Usb"/>
    <n v="988"/>
    <n v="1580"/>
    <n v="592"/>
    <x v="6"/>
    <n v="2"/>
    <x v="2"/>
    <s v="poor"/>
    <s v="Medium Discount"/>
  </r>
  <r>
    <s v="Anti-Skid Absorbent Insulation Coaster  For Home Office"/>
    <n v="332"/>
    <n v="684"/>
    <n v="352"/>
    <x v="7"/>
    <n v="2"/>
    <x v="0"/>
    <s v="poor"/>
    <s v="High Discount"/>
  </r>
  <r>
    <s v="Peacock  Throw Pillow Cushion Case For Home Car"/>
    <n v="195"/>
    <n v="360"/>
    <n v="165"/>
    <x v="1"/>
    <n v="2"/>
    <x v="0"/>
    <s v="poor"/>
    <s v="High Discount"/>
  </r>
  <r>
    <s v="Classic Black Cat Cotton Hemp Pillow Case For Home Car"/>
    <n v="171"/>
    <n v="360"/>
    <n v="189"/>
    <x v="8"/>
    <n v="2"/>
    <x v="0"/>
    <s v="poor"/>
    <s v="High Discount"/>
  </r>
  <r>
    <s v="1/2/3 Seater Elastic Sofa Cover,Living Room/Home Decor Chair Cover-Grey"/>
    <n v="1800"/>
    <n v="2700"/>
    <n v="900"/>
    <x v="9"/>
    <n v="2"/>
    <x v="4"/>
    <s v="poor"/>
    <s v="Medium Discount"/>
  </r>
  <r>
    <s v="LASA Aluminum Folding Truck Hand Cart - 68kg Max"/>
    <n v="2025"/>
    <n v="3971"/>
    <n v="1946"/>
    <x v="2"/>
    <n v="3"/>
    <x v="0"/>
    <s v="Average"/>
    <s v="High Discount"/>
  </r>
  <r>
    <s v="Portable Home Small Air Humidifier 3-Speed Fan - Green"/>
    <n v="1740"/>
    <n v="2356"/>
    <n v="616"/>
    <x v="10"/>
    <n v="5"/>
    <x v="5"/>
    <s v="Excellent"/>
    <s v="Medium Discount"/>
  </r>
  <r>
    <s v="LASA FOLDING TABLE SERVING STAND"/>
    <n v="1274"/>
    <n v="2800"/>
    <n v="1526"/>
    <x v="11"/>
    <n v="5"/>
    <x v="5"/>
    <s v="Excellent"/>
    <s v="High Discount"/>
  </r>
  <r>
    <s v="13 In 1 Home Repair Tools Box Kit Set"/>
    <n v="1600"/>
    <n v="2929"/>
    <n v="1329"/>
    <x v="12"/>
    <n v="5"/>
    <x v="6"/>
    <s v="Excellent"/>
    <s v="High Discount"/>
  </r>
  <r>
    <s v="LED Wall Digital Alarm Clock Study Home 12 / 24H Clock Calendar"/>
    <n v="2999"/>
    <n v="3699"/>
    <n v="700"/>
    <x v="13"/>
    <n v="5"/>
    <x v="7"/>
    <s v="Excellent"/>
    <s v="Low Discount"/>
  </r>
  <r>
    <s v="32PCS Portable Cordless Drill Set With Cyclic Battery Drive -26 Variable Speed"/>
    <n v="3750"/>
    <n v="6143"/>
    <n v="2393"/>
    <x v="14"/>
    <n v="5"/>
    <x v="1"/>
    <s v="Excellent"/>
    <s v="Medium Discount"/>
  </r>
  <r>
    <s v="Large Lazy Inflatable Sofa Chairs PVC Lounger Seat Bag"/>
    <n v="2300"/>
    <n v="3240"/>
    <n v="940"/>
    <x v="15"/>
    <n v="5"/>
    <x v="1"/>
    <s v="Excellent"/>
    <s v="Medium Discount"/>
  </r>
  <r>
    <s v="Wrought Iron Bathroom Shelf Wall Mounted Free Punch Toilet Rack"/>
    <n v="509"/>
    <n v="899"/>
    <n v="390"/>
    <x v="16"/>
    <n v="5"/>
    <x v="1"/>
    <s v="Excellent"/>
    <s v="High Discount"/>
  </r>
  <r>
    <s v="LASA Digital Thermometer And Hydrometer"/>
    <n v="501"/>
    <n v="860"/>
    <n v="359"/>
    <x v="17"/>
    <n v="6"/>
    <x v="4"/>
    <s v="Excellent"/>
    <s v="High Discount"/>
  </r>
  <r>
    <s v="LED Romantic Spaceship Starry Sky Projector,Children's Bedroom Night Light-Blue"/>
    <n v="880"/>
    <n v="1350"/>
    <n v="470"/>
    <x v="18"/>
    <n v="6"/>
    <x v="2"/>
    <s v="Excellent"/>
    <s v="Medium Discount"/>
  </r>
  <r>
    <s v="5 Pieces/set Of Stainless Steel Induction Cooker Pots"/>
    <n v="2170"/>
    <n v="2500"/>
    <n v="330"/>
    <x v="19"/>
    <n v="6"/>
    <x v="8"/>
    <s v="Excellent"/>
    <s v="Low Discount"/>
  </r>
  <r>
    <s v="Artificial Potted Flowers Room Decorative Flowers (2 Pieces)"/>
    <n v="990"/>
    <n v="1814"/>
    <n v="824"/>
    <x v="12"/>
    <n v="6"/>
    <x v="9"/>
    <s v="Excellent"/>
    <s v="High Discount"/>
  </r>
  <r>
    <s v="Watercolour Gold Foil Textured Print Pillow Cover"/>
    <n v="345"/>
    <n v="602"/>
    <n v="257"/>
    <x v="16"/>
    <n v="6"/>
    <x v="10"/>
    <s v="Excellent"/>
    <s v="High Discount"/>
  </r>
  <r>
    <s v="7-piece Set Of Storage Bags, Travel Storage Bags, Shoe Bags"/>
    <n v="968"/>
    <n v="1814"/>
    <n v="846"/>
    <x v="20"/>
    <n v="6"/>
    <x v="9"/>
    <s v="Excellent"/>
    <s v="High Discount"/>
  </r>
  <r>
    <s v="Weighing Scale Digital Bathroom Body Fat Scale USB-Black"/>
    <n v="1580"/>
    <n v="2499"/>
    <n v="919"/>
    <x v="6"/>
    <n v="7"/>
    <x v="11"/>
    <s v="Excellent"/>
    <s v="Medium Discount"/>
  </r>
  <r>
    <s v="LASA 3 Tier Bamboo Shoe Bench Storage Shelf"/>
    <n v="2048"/>
    <n v="4500"/>
    <n v="2452"/>
    <x v="21"/>
    <n v="7"/>
    <x v="12"/>
    <s v="Excellent"/>
    <s v="High Discount"/>
  </r>
  <r>
    <s v="380ML USB Rechargeable Portable Small Blenders And Juicers"/>
    <n v="1000"/>
    <n v="2000"/>
    <n v="1000"/>
    <x v="4"/>
    <n v="7"/>
    <x v="10"/>
    <s v="Excellent"/>
    <s v="High Discount"/>
  </r>
  <r>
    <s v="Electric LED UV Mosquito Killer Lamp, Outdoor/Indoor Fly Killer Trap Light -USB"/>
    <n v="1570"/>
    <n v="2988"/>
    <n v="1418"/>
    <x v="20"/>
    <n v="7"/>
    <x v="13"/>
    <s v="Excellent"/>
    <s v="High Discount"/>
  </r>
  <r>
    <s v="Multifunction Laser Level With Adjustment Tripod"/>
    <n v="1680"/>
    <n v="2499"/>
    <n v="819"/>
    <x v="9"/>
    <n v="9"/>
    <x v="14"/>
    <s v="Excellent"/>
    <s v="Medium Discount"/>
  </r>
  <r>
    <s v="Exfoliate And Exfoliate Face Towel - Black"/>
    <n v="185"/>
    <n v="382"/>
    <n v="197"/>
    <x v="22"/>
    <n v="9"/>
    <x v="12"/>
    <s v="Excellent"/>
    <s v="High Discount"/>
  </r>
  <r>
    <s v="LED Eye Protection  Desk Lamp , Study, Reading, USB Fan - Double Pen Holder"/>
    <n v="1820"/>
    <n v="3490"/>
    <n v="1670"/>
    <x v="23"/>
    <n v="9"/>
    <x v="12"/>
    <s v="Excellent"/>
    <s v="High Discount"/>
  </r>
  <r>
    <s v="Mythco 120COB Solar Wall Ligt With Motion Sensor And Remote Control 3 Modes"/>
    <n v="458"/>
    <n v="986"/>
    <n v="528"/>
    <x v="21"/>
    <n v="10"/>
    <x v="1"/>
    <s v="Excellent"/>
    <s v="High Discount"/>
  </r>
  <r>
    <s v="Genebre 115 In 1 Screwdriver Repairing Tool Set For IPhone Cellphone Hand Tool"/>
    <n v="799"/>
    <n v="999"/>
    <n v="200"/>
    <x v="24"/>
    <n v="12"/>
    <x v="15"/>
    <s v="Excellent"/>
    <s v="Medium Discount"/>
  </r>
  <r>
    <s v="40cm Gold DIY Acrylic Wall Sticker Clock"/>
    <n v="552"/>
    <n v="1035"/>
    <n v="483"/>
    <x v="20"/>
    <n v="12"/>
    <x v="5"/>
    <s v="Excellent"/>
    <s v="High Discount"/>
  </r>
  <r>
    <s v="Portable Wardrobe Nonwoven With 3 Hanging Rods And 6 Storage Shelves"/>
    <n v="2880"/>
    <n v="3520"/>
    <n v="640"/>
    <x v="25"/>
    <n v="12"/>
    <x v="6"/>
    <s v="Excellent"/>
    <s v="Low Discount"/>
  </r>
  <r>
    <s v="12 Litre Insulated Lunch Box Grey"/>
    <n v="980"/>
    <n v="1490"/>
    <n v="510"/>
    <x v="26"/>
    <n v="12"/>
    <x v="11"/>
    <s v="Excellent"/>
    <s v="Medium Discount"/>
  </r>
  <r>
    <s v="3PCS Single Head Knitting Crochet Sweater Needle Set"/>
    <n v="38"/>
    <n v="80"/>
    <n v="42"/>
    <x v="8"/>
    <n v="13"/>
    <x v="16"/>
    <s v="Excellent"/>
    <s v="High Discount"/>
  </r>
  <r>
    <s v="12 Litre Black Insulated Lunch Box"/>
    <n v="1350"/>
    <n v="1990"/>
    <n v="640"/>
    <x v="27"/>
    <n v="13"/>
    <x v="6"/>
    <s v="Excellent"/>
    <s v="Medium Discount"/>
  </r>
  <r>
    <s v="5-PCS Stainless Steel Cooking Pot Set With Steamed Slices"/>
    <n v="2115"/>
    <n v="4700"/>
    <n v="2585"/>
    <x v="11"/>
    <n v="13"/>
    <x v="13"/>
    <s v="Excellent"/>
    <s v="High Discount"/>
  </r>
  <r>
    <s v="Metal Decorative Hooks Key Hangers Entryway Wall Hooks Towel Hooks - Home"/>
    <n v="527"/>
    <n v="999"/>
    <n v="472"/>
    <x v="20"/>
    <n v="14"/>
    <x v="15"/>
    <s v="Excellent"/>
    <s v="High Discount"/>
  </r>
  <r>
    <s v="Foldable Overbed Table/Desk"/>
    <n v="1650"/>
    <n v="2150"/>
    <n v="500"/>
    <x v="28"/>
    <n v="14"/>
    <x v="17"/>
    <s v="Excellent"/>
    <s v="Medium Discount"/>
  </r>
  <r>
    <s v="220V 60W Electric Soldering Iron Kits With Tools, Tips, And Multimeter"/>
    <n v="2999"/>
    <n v="3290"/>
    <n v="291"/>
    <x v="29"/>
    <n v="15"/>
    <x v="2"/>
    <s v="Excellent"/>
    <s v="Low Discount"/>
  </r>
  <r>
    <s v="Intelligent  LED Body Sensor Wireless Lighting Night Light USB"/>
    <n v="325"/>
    <n v="680"/>
    <n v="355"/>
    <x v="22"/>
    <n v="15"/>
    <x v="18"/>
    <s v="Excellent"/>
    <s v="High Discount"/>
  </r>
  <r>
    <s v="VIC Wireless Vacuum Cleaner Dual Use For Home And Car 120W High Power Powerful"/>
    <n v="1220"/>
    <n v="1555"/>
    <n v="335"/>
    <x v="30"/>
    <n v="16"/>
    <x v="19"/>
    <s v="Excellent"/>
    <s v="Medium Discount"/>
  </r>
  <r>
    <s v="Agapeon Toothbrush Holder And Toothpaste Dispenser"/>
    <n v="382"/>
    <n v="700"/>
    <n v="318"/>
    <x v="12"/>
    <n v="17"/>
    <x v="20"/>
    <s v="Excellent"/>
    <s v="High Discount"/>
  </r>
  <r>
    <s v="52 Pieces Cake Decorating Tool Set Gift Kit Baking Supplies"/>
    <n v="1758"/>
    <n v="2499"/>
    <n v="741"/>
    <x v="31"/>
    <n v="20"/>
    <x v="15"/>
    <s v="Excellent"/>
    <s v="Medium Discount"/>
  </r>
  <r>
    <s v="53Pcs/Set Yarn Knitting Crochet Hooks With Bag - Fortune Cat"/>
    <n v="1940"/>
    <n v="2650"/>
    <n v="710"/>
    <x v="32"/>
    <n v="20"/>
    <x v="11"/>
    <s v="Excellent"/>
    <s v="Medium Discount"/>
  </r>
  <r>
    <s v="Portable Mini Cordless Car Vacuum Cleaner - Blue"/>
    <n v="2199"/>
    <n v="2923"/>
    <n v="724"/>
    <x v="33"/>
    <n v="24"/>
    <x v="7"/>
    <s v="Excellent"/>
    <s v="Medium Discount"/>
  </r>
  <r>
    <s v="53 Pieces/Set Yarn Knitting Crochet Hooks With Bag - Pansies"/>
    <n v="1980"/>
    <n v="2699"/>
    <n v="719"/>
    <x v="32"/>
    <n v="32"/>
    <x v="4"/>
    <s v="Excellent"/>
    <s v="Medium Discount"/>
  </r>
  <r>
    <s v="Punch-free Great Load Bearing Bathroom Storage Rack Wall Shelf-White"/>
    <n v="389"/>
    <n v="656"/>
    <n v="267"/>
    <x v="34"/>
    <n v="36"/>
    <x v="12"/>
    <s v="Excellent"/>
    <s v="High Discount"/>
  </r>
  <r>
    <s v="100 Pcs Crochet Hook Tool Set Knitting Hook Set With Box"/>
    <n v="990"/>
    <n v="1500"/>
    <n v="510"/>
    <x v="26"/>
    <n v="39"/>
    <x v="11"/>
    <s v="Excellent"/>
    <s v="Medium Discount"/>
  </r>
  <r>
    <s v="3D Waterproof EVA Plastic Shower Curtain 1.8*2Mtrs"/>
    <n v="998"/>
    <n v="1966"/>
    <n v="968"/>
    <x v="2"/>
    <n v="44"/>
    <x v="7"/>
    <s v="Excellent"/>
    <s v="High Discount"/>
  </r>
  <r>
    <s v="Electronic Digital Display Vernier Caliper"/>
    <n v="420"/>
    <n v="647"/>
    <n v="227"/>
    <x v="18"/>
    <n v="49"/>
    <x v="7"/>
    <s v="Excellent"/>
    <s v="Medium Discount"/>
  </r>
  <r>
    <s v="137 Pieces Cake Decorating Tool Set Baking Supplies"/>
    <n v="2319"/>
    <n v="3032"/>
    <n v="713"/>
    <x v="35"/>
    <n v="55"/>
    <x v="7"/>
    <s v="Excellent"/>
    <s v="Medium Discount"/>
  </r>
  <r>
    <s v="120W Cordless Vacuum Cleaners Handheld Electric Vacuum Cleaner"/>
    <n v="445"/>
    <n v="873"/>
    <n v="428"/>
    <x v="2"/>
    <n v="69"/>
    <x v="21"/>
    <s v="Excellent"/>
    <s v="High Discount"/>
  </r>
  <r>
    <s v="4pcs Bathroom/Kitchen Towel Rack,Roll Paper Holder,Towel Bars,Hook"/>
    <n v="1860"/>
    <n v="3220"/>
    <n v="1360"/>
    <x v="17"/>
    <n v="0"/>
    <x v="22"/>
    <s v="poor"/>
    <s v="High Discount"/>
  </r>
  <r>
    <s v="MultiFunctional Storage Rack Multi-layer Bookshelf"/>
    <n v="2200"/>
    <n v="4080"/>
    <n v="1880"/>
    <x v="1"/>
    <n v="0"/>
    <x v="22"/>
    <s v="poor"/>
    <s v="High Discount"/>
  </r>
  <r>
    <s v="LASA Stainless Steel Double Wall Mount Soap Dispenser - 500ml"/>
    <n v="2750"/>
    <n v="4471"/>
    <n v="1721"/>
    <x v="5"/>
    <n v="0"/>
    <x v="22"/>
    <s v="poor"/>
    <s v="Medium Discount"/>
  </r>
  <r>
    <s v="4M Float Switch Water Level Controller -Water Tank"/>
    <n v="475"/>
    <n v="931"/>
    <n v="456"/>
    <x v="2"/>
    <n v="0"/>
    <x v="22"/>
    <s v="poor"/>
    <s v="High Discount"/>
  </r>
  <r>
    <s v="Modern Sofa Throw Pillow Cover-45x45cm-Blue&amp;Red"/>
    <n v="238"/>
    <n v="476"/>
    <n v="238"/>
    <x v="4"/>
    <n v="0"/>
    <x v="22"/>
    <s v="poor"/>
    <s v="High Discount"/>
  </r>
  <r>
    <s v="Balloon Insert, Birthday Party Balloon Set, PU Leather"/>
    <n v="610"/>
    <n v="1060"/>
    <n v="450"/>
    <x v="17"/>
    <n v="0"/>
    <x v="22"/>
    <s v="poor"/>
    <s v="High Discount"/>
  </r>
  <r>
    <s v="Shower Cap Wide Elastic Band Cover Reusable Bashroom Cap"/>
    <n v="2132"/>
    <n v="2169"/>
    <n v="37"/>
    <x v="36"/>
    <n v="0"/>
    <x v="22"/>
    <s v="poor"/>
    <s v="Low Discount"/>
  </r>
  <r>
    <s v="Christmas Elk Fence Yard Lawn Decorations Cute For Holidays"/>
    <n v="999"/>
    <n v="2000"/>
    <n v="1001"/>
    <x v="4"/>
    <n v="0"/>
    <x v="22"/>
    <s v="poor"/>
    <s v="High Discount"/>
  </r>
  <r>
    <s v="60W Hot Melt Glue Sprayer - Efficient And Stable Glue Dispensing"/>
    <n v="1190"/>
    <n v="1785"/>
    <n v="595"/>
    <x v="9"/>
    <n v="0"/>
    <x v="22"/>
    <s v="poor"/>
    <s v="Medium Discount"/>
  </r>
  <r>
    <s v="Car Phone Charging Stand"/>
    <n v="671"/>
    <n v="1316"/>
    <n v="645"/>
    <x v="2"/>
    <n v="0"/>
    <x v="22"/>
    <s v="poor"/>
    <s v="High Discount"/>
  </r>
  <r>
    <s v="2pcs Solar Street Light Flood Light Outdoor"/>
    <n v="1200"/>
    <n v="1950"/>
    <n v="750"/>
    <x v="5"/>
    <n v="0"/>
    <x v="22"/>
    <s v="poor"/>
    <s v="Medium Discount"/>
  </r>
  <r>
    <s v="Creative Owl Shape Keychain Black"/>
    <n v="199"/>
    <n v="504"/>
    <n v="305"/>
    <x v="37"/>
    <n v="0"/>
    <x v="22"/>
    <s v="poor"/>
    <s v="High Discount"/>
  </r>
  <r>
    <s v="Brush &amp; Paintbrush Cleaning Tool Pink"/>
    <n v="299"/>
    <n v="600"/>
    <n v="301"/>
    <x v="4"/>
    <n v="0"/>
    <x v="22"/>
    <s v="poor"/>
    <s v="High Discount"/>
  </r>
  <r>
    <s v="Pen Grips For Kids Pen Grip Posture Correction Tool For Kids"/>
    <n v="1660"/>
    <n v="1699"/>
    <n v="39"/>
    <x v="36"/>
    <n v="0"/>
    <x v="22"/>
    <s v="poor"/>
    <s v="Low Discount"/>
  </r>
  <r>
    <s v="Pilates Cloth Bag Waterproof Durable High Capacity Purple"/>
    <n v="299"/>
    <n v="384"/>
    <n v="85"/>
    <x v="30"/>
    <n v="0"/>
    <x v="22"/>
    <s v="poor"/>
    <s v="Medium Discount"/>
  </r>
  <r>
    <s v="Multi-purpose Rice Drainage Basket And Fruit And Vegetable Drainage Sieve"/>
    <n v="1459"/>
    <n v="1499"/>
    <n v="40"/>
    <x v="38"/>
    <n v="0"/>
    <x v="22"/>
    <s v="poor"/>
    <s v="Low Discount"/>
  </r>
  <r>
    <s v="Cute Christmas Fence Garden Decorations For Holiday Home"/>
    <n v="799"/>
    <n v="1343"/>
    <n v="544"/>
    <x v="34"/>
    <n v="0"/>
    <x v="22"/>
    <s v="poor"/>
    <s v="High Discount"/>
  </r>
  <r>
    <s v="Simple Metal Dog Art Sculpture Decoration For Home Office"/>
    <n v="499"/>
    <n v="900"/>
    <n v="401"/>
    <x v="12"/>
    <n v="0"/>
    <x v="22"/>
    <s v="poor"/>
    <s v="High Discount"/>
  </r>
  <r>
    <s v="Christmas Fence Garden Decorations Outdoor For Holiday Home"/>
    <n v="699"/>
    <n v="1343"/>
    <n v="644"/>
    <x v="23"/>
    <n v="0"/>
    <x v="22"/>
    <s v="poor"/>
    <s v="High Discount"/>
  </r>
  <r>
    <s v="Angle Measuring Tool Full Metal Multi Angle Measuring Tool"/>
    <n v="799"/>
    <n v="1567"/>
    <n v="768"/>
    <x v="2"/>
    <n v="0"/>
    <x v="22"/>
    <s v="poor"/>
    <s v="High Discount"/>
  </r>
  <r>
    <s v="12V 19500rpm Handheld Electric Angle Grinder Tool - UK - Yellow/Black"/>
    <n v="2799"/>
    <n v="3810"/>
    <n v="1011"/>
    <x v="32"/>
    <n v="0"/>
    <x v="22"/>
    <s v="poor"/>
    <s v="Medium Discount"/>
  </r>
  <r>
    <s v="2PCS/LOT Solar LED Outdoor Intelligent Light Controlled Wall Lamp"/>
    <n v="790"/>
    <n v="1485"/>
    <n v="695"/>
    <x v="20"/>
    <n v="0"/>
    <x v="22"/>
    <s v="poor"/>
    <s v="High Discount"/>
  </r>
  <r>
    <s v="3PCS Rotary Scraper Thermomix For Kitchen"/>
    <n v="690"/>
    <n v="1200"/>
    <n v="510"/>
    <x v="16"/>
    <n v="0"/>
    <x v="22"/>
    <s v="poor"/>
    <s v="High Discount"/>
  </r>
  <r>
    <s v="Cushion Silicone Butt Cushion Summer Ice Cushion Honeycomb Gel Cushion"/>
    <n v="1732"/>
    <n v="1799"/>
    <n v="67"/>
    <x v="39"/>
    <n v="0"/>
    <x v="22"/>
    <s v="poor"/>
    <s v="Low Discount"/>
  </r>
  <r>
    <s v="7PCS Silicone Thumb Knife Finger Protector Vegetable Harvesting Knife"/>
    <n v="230"/>
    <n v="450"/>
    <n v="220"/>
    <x v="2"/>
    <n v="0"/>
    <x v="22"/>
    <s v="poor"/>
    <s v="High Discount"/>
  </r>
  <r>
    <s v="5m Waterproof Spherical LED String Lights Outdoor Ball Chain Lights Party Lighting Decoration Adjustable"/>
    <n v="1460"/>
    <n v="2290"/>
    <n v="830"/>
    <x v="40"/>
    <n v="0"/>
    <x v="22"/>
    <s v="poor"/>
    <s v="Medium Discount"/>
  </r>
  <r>
    <s v="2 Pairs Cowhide Split Leather Work Gloves.32â„‰ Or Above Welding Gloves"/>
    <n v="1666"/>
    <n v="1699"/>
    <n v="33"/>
    <x v="36"/>
    <n v="0"/>
    <x v="22"/>
    <s v="poor"/>
    <s v="Low Discount"/>
  </r>
  <r>
    <s v="Office Chair Lumbar Back Support Spine Posture Correction Pillow Car Cushion"/>
    <n v="1466"/>
    <n v="1699"/>
    <n v="233"/>
    <x v="41"/>
    <n v="0"/>
    <x v="22"/>
    <s v="poor"/>
    <s v="Low Discount"/>
  </r>
  <r>
    <s v="Cartoon Car Decoration Cute Individuality For Car Home Desk"/>
    <n v="274"/>
    <n v="537"/>
    <n v="263"/>
    <x v="2"/>
    <n v="0"/>
    <x v="22"/>
    <s v="poor"/>
    <s v="High Discount"/>
  </r>
  <r>
    <s v="Outdoor Portable Water Bottle With Medicine Box - 600ML - Black"/>
    <n v="799"/>
    <n v="900"/>
    <n v="101"/>
    <x v="42"/>
    <n v="0"/>
    <x v="22"/>
    <s v="poor"/>
    <s v="Low Discount"/>
  </r>
  <r>
    <s v="Wall-Mounted Toothbrush Toothpaste Holder With Multiple Slots"/>
    <n v="1468"/>
    <n v="1699"/>
    <n v="231"/>
    <x v="41"/>
    <n v="0"/>
    <x v="22"/>
    <s v="poor"/>
    <s v="Low Discount"/>
  </r>
  <r>
    <s v="Multifunctional Hanging Storage Box Storage Bag (4 Layers)"/>
    <n v="630"/>
    <n v="1100"/>
    <n v="470"/>
    <x v="16"/>
    <n v="0"/>
    <x v="22"/>
    <s v="poor"/>
    <s v="High Discount"/>
  </r>
  <r>
    <s v="Wall Clock With Hidden Safe Box"/>
    <n v="850"/>
    <n v="1700"/>
    <n v="850"/>
    <x v="4"/>
    <n v="0"/>
    <x v="22"/>
    <s v="poor"/>
    <s v="High Discount"/>
  </r>
  <r>
    <s v="Portable Wine Table With Folding Round Table"/>
    <n v="1300"/>
    <n v="2500"/>
    <n v="1200"/>
    <x v="23"/>
    <n v="0"/>
    <x v="22"/>
    <s v="poor"/>
    <s v="High Discount"/>
  </r>
  <r>
    <s v="Sewing Machine Needle Threader Stitch Insertion Tool Automatic Quick Sewing"/>
    <n v="105"/>
    <n v="200"/>
    <n v="95"/>
    <x v="23"/>
    <n v="0"/>
    <x v="22"/>
    <s v="poor"/>
    <s v="High Discount"/>
  </r>
  <r>
    <s v="6 Layers Steel Pipe Assembling Dustproof Storage Shoe Cabinet"/>
    <n v="899"/>
    <n v="1699"/>
    <n v="800"/>
    <x v="20"/>
    <n v="0"/>
    <x v="22"/>
    <s v="poor"/>
    <s v="High Discount"/>
  </r>
  <r>
    <s v="2PCS Ice Silk Square Cushion Cover Pillowcases - 65x65cm"/>
    <n v="1200"/>
    <n v="2400"/>
    <n v="1200"/>
    <x v="4"/>
    <n v="0"/>
    <x v="22"/>
    <s v="poor"/>
    <s v="High Discount"/>
  </r>
  <r>
    <s v="Wall Mount Automatic Toothpaste Dispenser Toothbrush Holder Toothpaste Squeezer"/>
    <n v="1526"/>
    <n v="1660"/>
    <n v="134"/>
    <x v="43"/>
    <n v="0"/>
    <x v="22"/>
    <s v="poor"/>
    <s v="Low Discount"/>
  </r>
  <r>
    <s v="Portable Soap Dispenser Kitchen Detergent Press Box Kitchen Tools"/>
    <n v="1462"/>
    <n v="1499"/>
    <n v="37"/>
    <x v="36"/>
    <n v="0"/>
    <x v="22"/>
    <s v="poor"/>
    <s v="Low Discount"/>
  </r>
  <r>
    <s v="4 Piece Coloured Stainless Steel Kitchenware Set"/>
    <n v="248"/>
    <n v="486"/>
    <n v="238"/>
    <x v="2"/>
    <n v="0"/>
    <x v="22"/>
    <s v="poor"/>
    <s v="High Discount"/>
  </r>
  <r>
    <s v="Metal Wall Clock Silver Dial Crystal Jewelry Round Home Decoration Wall Clock"/>
    <n v="3546"/>
    <n v="3699"/>
    <n v="153"/>
    <x v="39"/>
    <n v="0"/>
    <x v="22"/>
    <s v="poor"/>
    <s v="Low Discount"/>
  </r>
  <r>
    <s v="Baby Early Education Shape And Color Cognitive Training Toys"/>
    <n v="525"/>
    <n v="1029"/>
    <n v="504"/>
    <x v="2"/>
    <n v="0"/>
    <x v="22"/>
    <s v="poor"/>
    <s v="High Discount"/>
  </r>
  <r>
    <s v="8in1 Screwdriver With LED Light"/>
    <n v="1080"/>
    <n v="1874"/>
    <n v="794"/>
    <x v="17"/>
    <n v="0"/>
    <x v="22"/>
    <s v="poor"/>
    <s v="High Discount"/>
  </r>
  <r>
    <s v="9pcs Gas Mask, For Painting, Dust, Formaldehyde Grinding, Polishing"/>
    <n v="1420"/>
    <n v="2420"/>
    <n v="1000"/>
    <x v="34"/>
    <n v="0"/>
    <x v="22"/>
    <s v="poor"/>
    <s v="High Discount"/>
  </r>
  <r>
    <s v="24 Grid Wall-mounted Sundries Organiser Fabric Closet Bag Storage Rack"/>
    <n v="1875"/>
    <n v="1899"/>
    <n v="24"/>
    <x v="44"/>
    <n v="0"/>
    <x v="22"/>
    <s v="poor"/>
    <s v="Low Discount"/>
  </r>
  <r>
    <s v="1PC Refrigerator Food Seal Pocket Fridge Bags"/>
    <n v="198"/>
    <n v="260"/>
    <n v="62"/>
    <x v="35"/>
    <n v="0"/>
    <x v="22"/>
    <s v="poor"/>
    <s v="Medium Discount"/>
  </r>
  <r>
    <s v="LED Solar Street Light-fake Camera"/>
    <n v="1150"/>
    <n v="1737"/>
    <n v="587"/>
    <x v="26"/>
    <n v="0"/>
    <x v="22"/>
    <s v="poor"/>
    <s v="Medium Discount"/>
  </r>
  <r>
    <s v="Cartoon Embroidered Mini Towel Bear Cotton Wash Cloth Hand 4pcs"/>
    <n v="1190"/>
    <n v="1810"/>
    <n v="620"/>
    <x v="26"/>
    <n v="0"/>
    <x v="22"/>
    <s v="poor"/>
    <s v="Medium Discount"/>
  </r>
  <r>
    <s v="Shower Nozzle Cleaning Unclogging Needle Mini Crevice Small Hole Cleaning Brush"/>
    <n v="1658"/>
    <n v="1699"/>
    <n v="41"/>
    <x v="36"/>
    <n v="0"/>
    <x v="22"/>
    <s v="poor"/>
    <s v="Low Discount"/>
  </r>
  <r>
    <s v="Thickening Multipurpose Non Stick Easy To Clean Heat Resistant Spoon Pad"/>
    <n v="1768"/>
    <n v="1799"/>
    <n v="31"/>
    <x v="36"/>
    <n v="0"/>
    <x v="22"/>
    <s v="poor"/>
    <s v="Low Discount"/>
  </r>
  <r>
    <s v="6 In 1 Bottle Can Opener Multifunctional Easy Opener"/>
    <n v="199"/>
    <n v="553"/>
    <n v="354"/>
    <x v="45"/>
    <n v="0"/>
    <x v="22"/>
    <s v="poor"/>
    <s v="High Discount"/>
  </r>
  <r>
    <s v="Black Simple Water Cup Wine Coaster Anti Slip Absorbent"/>
    <n v="169"/>
    <n v="320"/>
    <n v="151"/>
    <x v="20"/>
    <n v="0"/>
    <x v="22"/>
    <s v="poor"/>
    <s v="High Discoun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
  <r>
    <x v="0"/>
    <n v="1620"/>
    <n v="2690"/>
    <x v="0"/>
    <x v="0"/>
    <x v="0"/>
    <x v="0"/>
    <x v="0"/>
    <x v="0"/>
  </r>
  <r>
    <x v="1"/>
    <n v="1189"/>
    <n v="2199"/>
    <x v="1"/>
    <x v="1"/>
    <x v="0"/>
    <x v="1"/>
    <x v="0"/>
    <x v="1"/>
  </r>
  <r>
    <x v="2"/>
    <n v="979"/>
    <n v="1920"/>
    <x v="2"/>
    <x v="2"/>
    <x v="0"/>
    <x v="0"/>
    <x v="0"/>
    <x v="1"/>
  </r>
  <r>
    <x v="3"/>
    <n v="330"/>
    <n v="647"/>
    <x v="3"/>
    <x v="2"/>
    <x v="0"/>
    <x v="2"/>
    <x v="0"/>
    <x v="1"/>
  </r>
  <r>
    <x v="4"/>
    <n v="3640"/>
    <n v="4588"/>
    <x v="4"/>
    <x v="3"/>
    <x v="0"/>
    <x v="0"/>
    <x v="0"/>
    <x v="0"/>
  </r>
  <r>
    <x v="5"/>
    <n v="450"/>
    <n v="900"/>
    <x v="5"/>
    <x v="4"/>
    <x v="0"/>
    <x v="3"/>
    <x v="0"/>
    <x v="1"/>
  </r>
  <r>
    <x v="6"/>
    <n v="950"/>
    <n v="1525"/>
    <x v="6"/>
    <x v="5"/>
    <x v="1"/>
    <x v="4"/>
    <x v="0"/>
    <x v="0"/>
  </r>
  <r>
    <x v="7"/>
    <n v="988"/>
    <n v="1580"/>
    <x v="7"/>
    <x v="6"/>
    <x v="1"/>
    <x v="2"/>
    <x v="0"/>
    <x v="0"/>
  </r>
  <r>
    <x v="8"/>
    <n v="332"/>
    <n v="684"/>
    <x v="8"/>
    <x v="7"/>
    <x v="1"/>
    <x v="0"/>
    <x v="0"/>
    <x v="1"/>
  </r>
  <r>
    <x v="9"/>
    <n v="195"/>
    <n v="360"/>
    <x v="9"/>
    <x v="1"/>
    <x v="1"/>
    <x v="0"/>
    <x v="0"/>
    <x v="1"/>
  </r>
  <r>
    <x v="10"/>
    <n v="171"/>
    <n v="360"/>
    <x v="10"/>
    <x v="8"/>
    <x v="1"/>
    <x v="0"/>
    <x v="0"/>
    <x v="1"/>
  </r>
  <r>
    <x v="11"/>
    <n v="1800"/>
    <n v="2700"/>
    <x v="11"/>
    <x v="9"/>
    <x v="1"/>
    <x v="4"/>
    <x v="0"/>
    <x v="0"/>
  </r>
  <r>
    <x v="12"/>
    <n v="2025"/>
    <n v="3971"/>
    <x v="12"/>
    <x v="2"/>
    <x v="2"/>
    <x v="0"/>
    <x v="1"/>
    <x v="1"/>
  </r>
  <r>
    <x v="13"/>
    <n v="1740"/>
    <n v="2356"/>
    <x v="13"/>
    <x v="10"/>
    <x v="3"/>
    <x v="5"/>
    <x v="2"/>
    <x v="0"/>
  </r>
  <r>
    <x v="14"/>
    <n v="1274"/>
    <n v="2800"/>
    <x v="14"/>
    <x v="11"/>
    <x v="3"/>
    <x v="5"/>
    <x v="2"/>
    <x v="1"/>
  </r>
  <r>
    <x v="15"/>
    <n v="1600"/>
    <n v="2929"/>
    <x v="15"/>
    <x v="12"/>
    <x v="3"/>
    <x v="6"/>
    <x v="2"/>
    <x v="1"/>
  </r>
  <r>
    <x v="16"/>
    <n v="2999"/>
    <n v="3699"/>
    <x v="16"/>
    <x v="13"/>
    <x v="3"/>
    <x v="7"/>
    <x v="2"/>
    <x v="2"/>
  </r>
  <r>
    <x v="17"/>
    <n v="3750"/>
    <n v="6143"/>
    <x v="17"/>
    <x v="14"/>
    <x v="3"/>
    <x v="1"/>
    <x v="2"/>
    <x v="0"/>
  </r>
  <r>
    <x v="18"/>
    <n v="2300"/>
    <n v="3240"/>
    <x v="18"/>
    <x v="15"/>
    <x v="3"/>
    <x v="1"/>
    <x v="2"/>
    <x v="0"/>
  </r>
  <r>
    <x v="19"/>
    <n v="509"/>
    <n v="899"/>
    <x v="19"/>
    <x v="16"/>
    <x v="3"/>
    <x v="1"/>
    <x v="2"/>
    <x v="1"/>
  </r>
  <r>
    <x v="20"/>
    <n v="501"/>
    <n v="860"/>
    <x v="20"/>
    <x v="17"/>
    <x v="4"/>
    <x v="4"/>
    <x v="2"/>
    <x v="1"/>
  </r>
  <r>
    <x v="21"/>
    <n v="880"/>
    <n v="1350"/>
    <x v="21"/>
    <x v="18"/>
    <x v="4"/>
    <x v="2"/>
    <x v="2"/>
    <x v="0"/>
  </r>
  <r>
    <x v="22"/>
    <n v="2170"/>
    <n v="2500"/>
    <x v="22"/>
    <x v="19"/>
    <x v="4"/>
    <x v="8"/>
    <x v="2"/>
    <x v="2"/>
  </r>
  <r>
    <x v="23"/>
    <n v="990"/>
    <n v="1814"/>
    <x v="23"/>
    <x v="12"/>
    <x v="4"/>
    <x v="9"/>
    <x v="2"/>
    <x v="1"/>
  </r>
  <r>
    <x v="24"/>
    <n v="345"/>
    <n v="602"/>
    <x v="24"/>
    <x v="16"/>
    <x v="4"/>
    <x v="10"/>
    <x v="2"/>
    <x v="1"/>
  </r>
  <r>
    <x v="25"/>
    <n v="968"/>
    <n v="1814"/>
    <x v="25"/>
    <x v="20"/>
    <x v="4"/>
    <x v="9"/>
    <x v="2"/>
    <x v="1"/>
  </r>
  <r>
    <x v="26"/>
    <n v="1580"/>
    <n v="2499"/>
    <x v="26"/>
    <x v="6"/>
    <x v="5"/>
    <x v="11"/>
    <x v="2"/>
    <x v="0"/>
  </r>
  <r>
    <x v="27"/>
    <n v="2048"/>
    <n v="4500"/>
    <x v="27"/>
    <x v="21"/>
    <x v="5"/>
    <x v="12"/>
    <x v="2"/>
    <x v="1"/>
  </r>
  <r>
    <x v="28"/>
    <n v="1000"/>
    <n v="2000"/>
    <x v="28"/>
    <x v="4"/>
    <x v="5"/>
    <x v="10"/>
    <x v="2"/>
    <x v="1"/>
  </r>
  <r>
    <x v="29"/>
    <n v="1570"/>
    <n v="2988"/>
    <x v="29"/>
    <x v="20"/>
    <x v="5"/>
    <x v="13"/>
    <x v="2"/>
    <x v="1"/>
  </r>
  <r>
    <x v="30"/>
    <n v="1680"/>
    <n v="2499"/>
    <x v="30"/>
    <x v="9"/>
    <x v="6"/>
    <x v="14"/>
    <x v="2"/>
    <x v="0"/>
  </r>
  <r>
    <x v="31"/>
    <n v="185"/>
    <n v="382"/>
    <x v="31"/>
    <x v="22"/>
    <x v="6"/>
    <x v="12"/>
    <x v="2"/>
    <x v="1"/>
  </r>
  <r>
    <x v="32"/>
    <n v="1820"/>
    <n v="3490"/>
    <x v="32"/>
    <x v="23"/>
    <x v="6"/>
    <x v="12"/>
    <x v="2"/>
    <x v="1"/>
  </r>
  <r>
    <x v="33"/>
    <n v="458"/>
    <n v="986"/>
    <x v="33"/>
    <x v="21"/>
    <x v="7"/>
    <x v="1"/>
    <x v="2"/>
    <x v="1"/>
  </r>
  <r>
    <x v="34"/>
    <n v="799"/>
    <n v="999"/>
    <x v="34"/>
    <x v="24"/>
    <x v="8"/>
    <x v="15"/>
    <x v="2"/>
    <x v="0"/>
  </r>
  <r>
    <x v="35"/>
    <n v="552"/>
    <n v="1035"/>
    <x v="35"/>
    <x v="20"/>
    <x v="8"/>
    <x v="5"/>
    <x v="2"/>
    <x v="1"/>
  </r>
  <r>
    <x v="36"/>
    <n v="2880"/>
    <n v="3520"/>
    <x v="36"/>
    <x v="25"/>
    <x v="8"/>
    <x v="6"/>
    <x v="2"/>
    <x v="2"/>
  </r>
  <r>
    <x v="37"/>
    <n v="980"/>
    <n v="1490"/>
    <x v="37"/>
    <x v="26"/>
    <x v="8"/>
    <x v="11"/>
    <x v="2"/>
    <x v="0"/>
  </r>
  <r>
    <x v="38"/>
    <n v="38"/>
    <n v="80"/>
    <x v="38"/>
    <x v="8"/>
    <x v="9"/>
    <x v="16"/>
    <x v="2"/>
    <x v="1"/>
  </r>
  <r>
    <x v="39"/>
    <n v="1350"/>
    <n v="1990"/>
    <x v="36"/>
    <x v="27"/>
    <x v="9"/>
    <x v="6"/>
    <x v="2"/>
    <x v="0"/>
  </r>
  <r>
    <x v="40"/>
    <n v="2115"/>
    <n v="4700"/>
    <x v="39"/>
    <x v="11"/>
    <x v="9"/>
    <x v="13"/>
    <x v="2"/>
    <x v="1"/>
  </r>
  <r>
    <x v="41"/>
    <n v="527"/>
    <n v="999"/>
    <x v="40"/>
    <x v="20"/>
    <x v="10"/>
    <x v="15"/>
    <x v="2"/>
    <x v="1"/>
  </r>
  <r>
    <x v="42"/>
    <n v="1650"/>
    <n v="2150"/>
    <x v="41"/>
    <x v="28"/>
    <x v="10"/>
    <x v="17"/>
    <x v="2"/>
    <x v="0"/>
  </r>
  <r>
    <x v="43"/>
    <n v="2999"/>
    <n v="3290"/>
    <x v="42"/>
    <x v="29"/>
    <x v="11"/>
    <x v="2"/>
    <x v="2"/>
    <x v="2"/>
  </r>
  <r>
    <x v="44"/>
    <n v="325"/>
    <n v="680"/>
    <x v="43"/>
    <x v="22"/>
    <x v="11"/>
    <x v="18"/>
    <x v="2"/>
    <x v="1"/>
  </r>
  <r>
    <x v="45"/>
    <n v="1220"/>
    <n v="1555"/>
    <x v="44"/>
    <x v="30"/>
    <x v="12"/>
    <x v="19"/>
    <x v="2"/>
    <x v="0"/>
  </r>
  <r>
    <x v="46"/>
    <n v="382"/>
    <n v="700"/>
    <x v="45"/>
    <x v="12"/>
    <x v="13"/>
    <x v="20"/>
    <x v="2"/>
    <x v="1"/>
  </r>
  <r>
    <x v="47"/>
    <n v="1758"/>
    <n v="2499"/>
    <x v="46"/>
    <x v="31"/>
    <x v="14"/>
    <x v="15"/>
    <x v="2"/>
    <x v="0"/>
  </r>
  <r>
    <x v="48"/>
    <n v="1940"/>
    <n v="2650"/>
    <x v="47"/>
    <x v="32"/>
    <x v="14"/>
    <x v="11"/>
    <x v="2"/>
    <x v="0"/>
  </r>
  <r>
    <x v="49"/>
    <n v="2199"/>
    <n v="2923"/>
    <x v="48"/>
    <x v="33"/>
    <x v="15"/>
    <x v="7"/>
    <x v="2"/>
    <x v="0"/>
  </r>
  <r>
    <x v="50"/>
    <n v="1980"/>
    <n v="2699"/>
    <x v="49"/>
    <x v="32"/>
    <x v="16"/>
    <x v="4"/>
    <x v="2"/>
    <x v="0"/>
  </r>
  <r>
    <x v="51"/>
    <n v="389"/>
    <n v="656"/>
    <x v="50"/>
    <x v="34"/>
    <x v="17"/>
    <x v="12"/>
    <x v="2"/>
    <x v="1"/>
  </r>
  <r>
    <x v="52"/>
    <n v="990"/>
    <n v="1500"/>
    <x v="37"/>
    <x v="26"/>
    <x v="18"/>
    <x v="11"/>
    <x v="2"/>
    <x v="0"/>
  </r>
  <r>
    <x v="53"/>
    <n v="998"/>
    <n v="1966"/>
    <x v="51"/>
    <x v="2"/>
    <x v="19"/>
    <x v="7"/>
    <x v="2"/>
    <x v="1"/>
  </r>
  <r>
    <x v="54"/>
    <n v="420"/>
    <n v="647"/>
    <x v="52"/>
    <x v="18"/>
    <x v="20"/>
    <x v="7"/>
    <x v="2"/>
    <x v="0"/>
  </r>
  <r>
    <x v="55"/>
    <n v="2319"/>
    <n v="3032"/>
    <x v="53"/>
    <x v="35"/>
    <x v="21"/>
    <x v="7"/>
    <x v="2"/>
    <x v="0"/>
  </r>
  <r>
    <x v="56"/>
    <n v="445"/>
    <n v="873"/>
    <x v="54"/>
    <x v="2"/>
    <x v="22"/>
    <x v="21"/>
    <x v="2"/>
    <x v="1"/>
  </r>
  <r>
    <x v="57"/>
    <n v="1860"/>
    <n v="3220"/>
    <x v="55"/>
    <x v="17"/>
    <x v="23"/>
    <x v="22"/>
    <x v="0"/>
    <x v="1"/>
  </r>
  <r>
    <x v="58"/>
    <n v="2200"/>
    <n v="4080"/>
    <x v="56"/>
    <x v="1"/>
    <x v="23"/>
    <x v="22"/>
    <x v="0"/>
    <x v="1"/>
  </r>
  <r>
    <x v="59"/>
    <n v="2750"/>
    <n v="4471"/>
    <x v="57"/>
    <x v="5"/>
    <x v="23"/>
    <x v="22"/>
    <x v="0"/>
    <x v="0"/>
  </r>
  <r>
    <x v="60"/>
    <n v="475"/>
    <n v="931"/>
    <x v="58"/>
    <x v="2"/>
    <x v="23"/>
    <x v="22"/>
    <x v="0"/>
    <x v="1"/>
  </r>
  <r>
    <x v="61"/>
    <n v="238"/>
    <n v="476"/>
    <x v="59"/>
    <x v="4"/>
    <x v="23"/>
    <x v="22"/>
    <x v="0"/>
    <x v="1"/>
  </r>
  <r>
    <x v="62"/>
    <n v="610"/>
    <n v="1060"/>
    <x v="5"/>
    <x v="17"/>
    <x v="23"/>
    <x v="22"/>
    <x v="0"/>
    <x v="1"/>
  </r>
  <r>
    <x v="63"/>
    <n v="2132"/>
    <n v="2169"/>
    <x v="60"/>
    <x v="36"/>
    <x v="23"/>
    <x v="22"/>
    <x v="0"/>
    <x v="2"/>
  </r>
  <r>
    <x v="64"/>
    <n v="999"/>
    <n v="2000"/>
    <x v="61"/>
    <x v="4"/>
    <x v="23"/>
    <x v="22"/>
    <x v="0"/>
    <x v="1"/>
  </r>
  <r>
    <x v="65"/>
    <n v="1190"/>
    <n v="1785"/>
    <x v="62"/>
    <x v="9"/>
    <x v="23"/>
    <x v="22"/>
    <x v="0"/>
    <x v="0"/>
  </r>
  <r>
    <x v="66"/>
    <n v="671"/>
    <n v="1316"/>
    <x v="63"/>
    <x v="2"/>
    <x v="23"/>
    <x v="22"/>
    <x v="0"/>
    <x v="1"/>
  </r>
  <r>
    <x v="67"/>
    <n v="1200"/>
    <n v="1950"/>
    <x v="64"/>
    <x v="5"/>
    <x v="23"/>
    <x v="22"/>
    <x v="0"/>
    <x v="0"/>
  </r>
  <r>
    <x v="68"/>
    <n v="199"/>
    <n v="504"/>
    <x v="65"/>
    <x v="37"/>
    <x v="23"/>
    <x v="22"/>
    <x v="0"/>
    <x v="1"/>
  </r>
  <r>
    <x v="69"/>
    <n v="299"/>
    <n v="600"/>
    <x v="66"/>
    <x v="4"/>
    <x v="23"/>
    <x v="22"/>
    <x v="0"/>
    <x v="1"/>
  </r>
  <r>
    <x v="70"/>
    <n v="1660"/>
    <n v="1699"/>
    <x v="67"/>
    <x v="36"/>
    <x v="23"/>
    <x v="22"/>
    <x v="0"/>
    <x v="2"/>
  </r>
  <r>
    <x v="71"/>
    <n v="299"/>
    <n v="384"/>
    <x v="68"/>
    <x v="30"/>
    <x v="23"/>
    <x v="22"/>
    <x v="0"/>
    <x v="0"/>
  </r>
  <r>
    <x v="72"/>
    <n v="1459"/>
    <n v="1499"/>
    <x v="69"/>
    <x v="38"/>
    <x v="23"/>
    <x v="22"/>
    <x v="0"/>
    <x v="2"/>
  </r>
  <r>
    <x v="73"/>
    <n v="799"/>
    <n v="1343"/>
    <x v="70"/>
    <x v="34"/>
    <x v="23"/>
    <x v="22"/>
    <x v="0"/>
    <x v="1"/>
  </r>
  <r>
    <x v="74"/>
    <n v="499"/>
    <n v="900"/>
    <x v="71"/>
    <x v="12"/>
    <x v="23"/>
    <x v="22"/>
    <x v="0"/>
    <x v="1"/>
  </r>
  <r>
    <x v="75"/>
    <n v="699"/>
    <n v="1343"/>
    <x v="72"/>
    <x v="23"/>
    <x v="23"/>
    <x v="22"/>
    <x v="0"/>
    <x v="1"/>
  </r>
  <r>
    <x v="76"/>
    <n v="799"/>
    <n v="1567"/>
    <x v="73"/>
    <x v="2"/>
    <x v="23"/>
    <x v="22"/>
    <x v="0"/>
    <x v="1"/>
  </r>
  <r>
    <x v="77"/>
    <n v="2799"/>
    <n v="3810"/>
    <x v="74"/>
    <x v="32"/>
    <x v="23"/>
    <x v="22"/>
    <x v="0"/>
    <x v="0"/>
  </r>
  <r>
    <x v="78"/>
    <n v="790"/>
    <n v="1485"/>
    <x v="75"/>
    <x v="20"/>
    <x v="23"/>
    <x v="22"/>
    <x v="0"/>
    <x v="1"/>
  </r>
  <r>
    <x v="79"/>
    <n v="690"/>
    <n v="1200"/>
    <x v="37"/>
    <x v="16"/>
    <x v="23"/>
    <x v="22"/>
    <x v="0"/>
    <x v="1"/>
  </r>
  <r>
    <x v="80"/>
    <n v="1732"/>
    <n v="1799"/>
    <x v="76"/>
    <x v="39"/>
    <x v="23"/>
    <x v="22"/>
    <x v="0"/>
    <x v="2"/>
  </r>
  <r>
    <x v="81"/>
    <n v="230"/>
    <n v="450"/>
    <x v="77"/>
    <x v="2"/>
    <x v="23"/>
    <x v="22"/>
    <x v="0"/>
    <x v="1"/>
  </r>
  <r>
    <x v="82"/>
    <n v="1460"/>
    <n v="2290"/>
    <x v="78"/>
    <x v="40"/>
    <x v="23"/>
    <x v="22"/>
    <x v="0"/>
    <x v="0"/>
  </r>
  <r>
    <x v="83"/>
    <n v="1666"/>
    <n v="1699"/>
    <x v="79"/>
    <x v="36"/>
    <x v="23"/>
    <x v="22"/>
    <x v="0"/>
    <x v="2"/>
  </r>
  <r>
    <x v="84"/>
    <n v="1466"/>
    <n v="1699"/>
    <x v="80"/>
    <x v="41"/>
    <x v="23"/>
    <x v="22"/>
    <x v="0"/>
    <x v="2"/>
  </r>
  <r>
    <x v="85"/>
    <n v="274"/>
    <n v="537"/>
    <x v="81"/>
    <x v="2"/>
    <x v="23"/>
    <x v="22"/>
    <x v="0"/>
    <x v="1"/>
  </r>
  <r>
    <x v="86"/>
    <n v="799"/>
    <n v="900"/>
    <x v="82"/>
    <x v="42"/>
    <x v="23"/>
    <x v="22"/>
    <x v="0"/>
    <x v="2"/>
  </r>
  <r>
    <x v="87"/>
    <n v="1468"/>
    <n v="1699"/>
    <x v="83"/>
    <x v="41"/>
    <x v="23"/>
    <x v="22"/>
    <x v="0"/>
    <x v="2"/>
  </r>
  <r>
    <x v="88"/>
    <n v="630"/>
    <n v="1100"/>
    <x v="21"/>
    <x v="16"/>
    <x v="23"/>
    <x v="22"/>
    <x v="0"/>
    <x v="1"/>
  </r>
  <r>
    <x v="89"/>
    <n v="850"/>
    <n v="1700"/>
    <x v="84"/>
    <x v="4"/>
    <x v="23"/>
    <x v="22"/>
    <x v="0"/>
    <x v="1"/>
  </r>
  <r>
    <x v="90"/>
    <n v="1300"/>
    <n v="2500"/>
    <x v="85"/>
    <x v="23"/>
    <x v="23"/>
    <x v="22"/>
    <x v="0"/>
    <x v="1"/>
  </r>
  <r>
    <x v="91"/>
    <n v="105"/>
    <n v="200"/>
    <x v="86"/>
    <x v="23"/>
    <x v="23"/>
    <x v="22"/>
    <x v="0"/>
    <x v="1"/>
  </r>
  <r>
    <x v="92"/>
    <n v="899"/>
    <n v="1699"/>
    <x v="87"/>
    <x v="20"/>
    <x v="23"/>
    <x v="22"/>
    <x v="0"/>
    <x v="1"/>
  </r>
  <r>
    <x v="93"/>
    <n v="1200"/>
    <n v="2400"/>
    <x v="85"/>
    <x v="4"/>
    <x v="23"/>
    <x v="22"/>
    <x v="0"/>
    <x v="1"/>
  </r>
  <r>
    <x v="94"/>
    <n v="1526"/>
    <n v="1660"/>
    <x v="88"/>
    <x v="43"/>
    <x v="23"/>
    <x v="22"/>
    <x v="0"/>
    <x v="2"/>
  </r>
  <r>
    <x v="95"/>
    <n v="1462"/>
    <n v="1499"/>
    <x v="60"/>
    <x v="36"/>
    <x v="23"/>
    <x v="22"/>
    <x v="0"/>
    <x v="2"/>
  </r>
  <r>
    <x v="96"/>
    <n v="248"/>
    <n v="486"/>
    <x v="59"/>
    <x v="2"/>
    <x v="23"/>
    <x v="22"/>
    <x v="0"/>
    <x v="1"/>
  </r>
  <r>
    <x v="97"/>
    <n v="3546"/>
    <n v="3699"/>
    <x v="89"/>
    <x v="39"/>
    <x v="23"/>
    <x v="22"/>
    <x v="0"/>
    <x v="2"/>
  </r>
  <r>
    <x v="98"/>
    <n v="525"/>
    <n v="1029"/>
    <x v="90"/>
    <x v="2"/>
    <x v="23"/>
    <x v="22"/>
    <x v="0"/>
    <x v="1"/>
  </r>
  <r>
    <x v="99"/>
    <n v="1080"/>
    <n v="1874"/>
    <x v="91"/>
    <x v="17"/>
    <x v="23"/>
    <x v="22"/>
    <x v="0"/>
    <x v="1"/>
  </r>
  <r>
    <x v="100"/>
    <n v="1420"/>
    <n v="2420"/>
    <x v="28"/>
    <x v="34"/>
    <x v="23"/>
    <x v="22"/>
    <x v="0"/>
    <x v="1"/>
  </r>
  <r>
    <x v="101"/>
    <n v="1875"/>
    <n v="1899"/>
    <x v="92"/>
    <x v="44"/>
    <x v="23"/>
    <x v="22"/>
    <x v="0"/>
    <x v="2"/>
  </r>
  <r>
    <x v="102"/>
    <n v="198"/>
    <n v="260"/>
    <x v="93"/>
    <x v="35"/>
    <x v="23"/>
    <x v="22"/>
    <x v="0"/>
    <x v="0"/>
  </r>
  <r>
    <x v="103"/>
    <n v="1150"/>
    <n v="1737"/>
    <x v="94"/>
    <x v="26"/>
    <x v="23"/>
    <x v="22"/>
    <x v="0"/>
    <x v="0"/>
  </r>
  <r>
    <x v="104"/>
    <n v="1190"/>
    <n v="1810"/>
    <x v="95"/>
    <x v="26"/>
    <x v="23"/>
    <x v="22"/>
    <x v="0"/>
    <x v="0"/>
  </r>
  <r>
    <x v="105"/>
    <n v="1658"/>
    <n v="1699"/>
    <x v="96"/>
    <x v="36"/>
    <x v="23"/>
    <x v="22"/>
    <x v="0"/>
    <x v="2"/>
  </r>
  <r>
    <x v="106"/>
    <n v="1768"/>
    <n v="1799"/>
    <x v="97"/>
    <x v="36"/>
    <x v="23"/>
    <x v="22"/>
    <x v="0"/>
    <x v="2"/>
  </r>
  <r>
    <x v="107"/>
    <n v="199"/>
    <n v="553"/>
    <x v="98"/>
    <x v="45"/>
    <x v="23"/>
    <x v="22"/>
    <x v="0"/>
    <x v="1"/>
  </r>
  <r>
    <x v="108"/>
    <n v="169"/>
    <n v="320"/>
    <x v="99"/>
    <x v="20"/>
    <x v="23"/>
    <x v="22"/>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90590A-4560-466F-B6B0-10CA414B8AA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0" firstHeaderRow="1" firstDataRow="1" firstDataCol="1"/>
  <pivotFields count="9">
    <pivotField showAll="0"/>
    <pivotField numFmtId="2" showAll="0"/>
    <pivotField numFmtId="2" showAll="0"/>
    <pivotField numFmtId="2" showAll="0"/>
    <pivotField axis="axisRow" numFmtId="9" showAll="0">
      <items count="47">
        <item x="44"/>
        <item x="36"/>
        <item x="38"/>
        <item x="39"/>
        <item x="43"/>
        <item x="29"/>
        <item x="42"/>
        <item x="19"/>
        <item x="41"/>
        <item x="25"/>
        <item x="13"/>
        <item x="24"/>
        <item x="3"/>
        <item x="30"/>
        <item x="28"/>
        <item x="35"/>
        <item x="33"/>
        <item x="10"/>
        <item x="32"/>
        <item x="15"/>
        <item x="31"/>
        <item x="27"/>
        <item x="9"/>
        <item x="26"/>
        <item x="18"/>
        <item x="40"/>
        <item x="6"/>
        <item x="5"/>
        <item x="14"/>
        <item x="0"/>
        <item x="34"/>
        <item x="17"/>
        <item x="16"/>
        <item x="12"/>
        <item x="1"/>
        <item x="20"/>
        <item x="23"/>
        <item x="2"/>
        <item x="4"/>
        <item x="7"/>
        <item x="22"/>
        <item x="8"/>
        <item x="21"/>
        <item x="11"/>
        <item x="37"/>
        <item x="45"/>
        <item t="default"/>
      </items>
    </pivotField>
    <pivotField dataField="1" showAll="0"/>
    <pivotField showAll="0">
      <items count="24">
        <item x="22"/>
        <item x="3"/>
        <item x="13"/>
        <item x="9"/>
        <item x="10"/>
        <item x="8"/>
        <item x="20"/>
        <item x="18"/>
        <item x="21"/>
        <item x="19"/>
        <item x="1"/>
        <item x="16"/>
        <item x="6"/>
        <item x="2"/>
        <item x="15"/>
        <item x="14"/>
        <item x="12"/>
        <item x="17"/>
        <item x="4"/>
        <item x="7"/>
        <item x="11"/>
        <item x="5"/>
        <item x="0"/>
        <item t="default"/>
      </items>
    </pivotField>
    <pivotField showAll="0"/>
    <pivotField showAll="0"/>
  </pivotFields>
  <rowFields count="1">
    <field x="4"/>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Items count="1">
    <i/>
  </colItems>
  <dataFields count="1">
    <dataField name="Sum of No of Review"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AD4E74-8DCF-4353-9B35-CED59FC05796}" name="PivotTable1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9">
  <location ref="A3:B26" firstHeaderRow="1" firstDataRow="1" firstDataCol="1"/>
  <pivotFields count="9">
    <pivotField compact="0"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numFmtId="9" outline="0" showAll="0" defaultSubtotal="0">
      <items count="46">
        <item x="44"/>
        <item x="36"/>
        <item x="38"/>
        <item x="39"/>
        <item x="43"/>
        <item x="29"/>
        <item x="42"/>
        <item x="19"/>
        <item x="41"/>
        <item x="25"/>
        <item x="13"/>
        <item x="24"/>
        <item x="3"/>
        <item x="30"/>
        <item x="28"/>
        <item x="35"/>
        <item x="33"/>
        <item x="10"/>
        <item x="32"/>
        <item x="15"/>
        <item x="31"/>
        <item x="27"/>
        <item x="9"/>
        <item x="26"/>
        <item x="18"/>
        <item x="40"/>
        <item x="6"/>
        <item x="5"/>
        <item x="14"/>
        <item x="0"/>
        <item x="34"/>
        <item x="17"/>
        <item x="16"/>
        <item x="12"/>
        <item x="1"/>
        <item x="20"/>
        <item x="23"/>
        <item x="2"/>
        <item x="4"/>
        <item x="7"/>
        <item x="22"/>
        <item x="8"/>
        <item x="21"/>
        <item x="11"/>
        <item x="37"/>
        <item x="45"/>
      </items>
      <extLst>
        <ext xmlns:x14="http://schemas.microsoft.com/office/spreadsheetml/2009/9/main" uri="{2946ED86-A175-432a-8AC1-64E0C546D7DE}">
          <x14:pivotField fillDownLabels="1"/>
        </ext>
      </extLst>
    </pivotField>
    <pivotField dataField="1" compact="0" outline="0" showAll="0" sumSubtotal="1" countASubtotal="1">
      <items count="26">
        <item x="23"/>
        <item x="0"/>
        <item x="1"/>
        <item x="2"/>
        <item x="3"/>
        <item x="4"/>
        <item x="5"/>
        <item x="6"/>
        <item x="7"/>
        <item x="8"/>
        <item x="9"/>
        <item x="10"/>
        <item x="11"/>
        <item x="12"/>
        <item x="13"/>
        <item x="14"/>
        <item x="15"/>
        <item x="16"/>
        <item x="17"/>
        <item x="18"/>
        <item x="19"/>
        <item x="20"/>
        <item x="21"/>
        <item x="22"/>
        <item t="sum"/>
        <item t="countA"/>
      </items>
      <extLst>
        <ext xmlns:x14="http://schemas.microsoft.com/office/spreadsheetml/2009/9/main" uri="{2946ED86-A175-432a-8AC1-64E0C546D7DE}">
          <x14:pivotField fillDownLabels="1"/>
        </ext>
      </extLst>
    </pivotField>
    <pivotField axis="axisRow" compact="0" outline="0" showAll="0" defaultSubtotal="0">
      <items count="23">
        <item x="22"/>
        <item x="3"/>
        <item x="13"/>
        <item x="9"/>
        <item x="10"/>
        <item x="8"/>
        <item x="20"/>
        <item x="18"/>
        <item x="21"/>
        <item x="19"/>
        <item x="1"/>
        <item x="16"/>
        <item x="6"/>
        <item x="2"/>
        <item x="15"/>
        <item x="14"/>
        <item x="12"/>
        <item x="17"/>
        <item x="4"/>
        <item x="7"/>
        <item x="11"/>
        <item x="5"/>
        <item x="0"/>
      </items>
      <extLst>
        <ext xmlns:x14="http://schemas.microsoft.com/office/spreadsheetml/2009/9/main" uri="{2946ED86-A175-432a-8AC1-64E0C546D7DE}">
          <x14:pivotField fillDownLabels="1"/>
        </ext>
      </extLst>
    </pivotField>
    <pivotField compact="0" outline="0" showAll="0" defaultSubtotal="0">
      <items count="3">
        <item x="1"/>
        <item x="2"/>
        <item x="0"/>
      </items>
      <extLst>
        <ext xmlns:x14="http://schemas.microsoft.com/office/spreadsheetml/2009/9/main" uri="{2946ED86-A175-432a-8AC1-64E0C546D7DE}">
          <x14:pivotField fillDownLabels="1"/>
        </ext>
      </extLst>
    </pivotField>
    <pivotField compact="0" outline="0" showAll="0" defaultSubtotal="0">
      <items count="3">
        <item x="1"/>
        <item x="2"/>
        <item x="0"/>
      </items>
      <extLst>
        <ext xmlns:x14="http://schemas.microsoft.com/office/spreadsheetml/2009/9/main" uri="{2946ED86-A175-432a-8AC1-64E0C546D7DE}">
          <x14:pivotField fillDownLabels="1"/>
        </ext>
      </extLst>
    </pivotField>
  </pivotFields>
  <rowFields count="1">
    <field x="6"/>
  </rowFields>
  <rowItems count="23">
    <i>
      <x/>
    </i>
    <i>
      <x v="1"/>
    </i>
    <i>
      <x v="2"/>
    </i>
    <i>
      <x v="3"/>
    </i>
    <i>
      <x v="4"/>
    </i>
    <i>
      <x v="5"/>
    </i>
    <i>
      <x v="6"/>
    </i>
    <i>
      <x v="7"/>
    </i>
    <i>
      <x v="8"/>
    </i>
    <i>
      <x v="9"/>
    </i>
    <i>
      <x v="10"/>
    </i>
    <i>
      <x v="11"/>
    </i>
    <i>
      <x v="12"/>
    </i>
    <i>
      <x v="13"/>
    </i>
    <i>
      <x v="14"/>
    </i>
    <i>
      <x v="15"/>
    </i>
    <i>
      <x v="16"/>
    </i>
    <i>
      <x v="17"/>
    </i>
    <i>
      <x v="18"/>
    </i>
    <i>
      <x v="19"/>
    </i>
    <i>
      <x v="20"/>
    </i>
    <i>
      <x v="21"/>
    </i>
    <i>
      <x v="22"/>
    </i>
  </rowItems>
  <colItems count="1">
    <i/>
  </colItems>
  <dataFields count="1">
    <dataField name="Sum of No of Review" fld="5" baseField="0" baseItem="0"/>
  </dataFields>
  <chartFormats count="1">
    <chartFormat chart="4" format="3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971D9F-BA1E-42F9-854C-5B101B97A8AB}" name="PivotTable3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rowPageCount="1" colPageCount="1"/>
  <pivotFields count="9">
    <pivotField axis="axisRow" showAll="0" sortType="descending">
      <items count="110">
        <item x="19"/>
        <item x="26"/>
        <item x="24"/>
        <item x="87"/>
        <item x="5"/>
        <item x="94"/>
        <item x="89"/>
        <item x="45"/>
        <item x="106"/>
        <item x="74"/>
        <item x="105"/>
        <item x="63"/>
        <item x="91"/>
        <item x="51"/>
        <item x="90"/>
        <item x="36"/>
        <item x="95"/>
        <item x="49"/>
        <item x="13"/>
        <item x="71"/>
        <item x="70"/>
        <item x="9"/>
        <item x="86"/>
        <item x="84"/>
        <item x="33"/>
        <item x="72"/>
        <item x="58"/>
        <item x="88"/>
        <item x="30"/>
        <item x="61"/>
        <item x="97"/>
        <item x="41"/>
        <item x="1"/>
        <item x="16"/>
        <item x="103"/>
        <item x="21"/>
        <item x="32"/>
        <item x="59"/>
        <item x="14"/>
        <item x="20"/>
        <item x="12"/>
        <item x="27"/>
        <item x="18"/>
        <item x="4"/>
        <item x="44"/>
        <item x="3"/>
        <item x="34"/>
        <item x="42"/>
        <item x="31"/>
        <item x="54"/>
        <item x="29"/>
        <item x="0"/>
        <item x="7"/>
        <item x="73"/>
        <item x="80"/>
        <item x="68"/>
        <item x="10"/>
        <item x="75"/>
        <item x="64"/>
        <item x="104"/>
        <item x="85"/>
        <item x="66"/>
        <item x="69"/>
        <item x="108"/>
        <item x="2"/>
        <item x="62"/>
        <item x="98"/>
        <item x="23"/>
        <item x="8"/>
        <item x="76"/>
        <item x="46"/>
        <item x="100"/>
        <item x="99"/>
        <item x="25"/>
        <item x="81"/>
        <item x="65"/>
        <item x="92"/>
        <item x="107"/>
        <item x="40"/>
        <item x="82"/>
        <item x="48"/>
        <item x="50"/>
        <item x="47"/>
        <item x="22"/>
        <item x="57"/>
        <item x="60"/>
        <item x="35"/>
        <item x="96"/>
        <item x="38"/>
        <item x="79"/>
        <item x="53"/>
        <item x="28"/>
        <item x="17"/>
        <item x="78"/>
        <item x="67"/>
        <item x="93"/>
        <item x="101"/>
        <item x="43"/>
        <item x="83"/>
        <item x="102"/>
        <item x="55"/>
        <item x="15"/>
        <item x="77"/>
        <item x="56"/>
        <item x="37"/>
        <item x="39"/>
        <item x="6"/>
        <item x="52"/>
        <item x="11"/>
        <item t="default"/>
      </items>
    </pivotField>
    <pivotField numFmtId="2" showAll="0"/>
    <pivotField numFmtId="2" showAll="0"/>
    <pivotField numFmtId="2" showAll="0">
      <items count="101">
        <item x="92"/>
        <item x="97"/>
        <item x="79"/>
        <item x="60"/>
        <item x="67"/>
        <item x="69"/>
        <item x="96"/>
        <item x="38"/>
        <item x="93"/>
        <item x="76"/>
        <item x="68"/>
        <item x="86"/>
        <item x="82"/>
        <item x="88"/>
        <item x="99"/>
        <item x="89"/>
        <item x="9"/>
        <item x="10"/>
        <item x="31"/>
        <item x="34"/>
        <item x="77"/>
        <item x="52"/>
        <item x="83"/>
        <item x="80"/>
        <item x="59"/>
        <item x="24"/>
        <item x="81"/>
        <item x="50"/>
        <item x="42"/>
        <item x="66"/>
        <item x="65"/>
        <item x="3"/>
        <item x="45"/>
        <item x="22"/>
        <item x="44"/>
        <item x="8"/>
        <item x="98"/>
        <item x="43"/>
        <item x="20"/>
        <item x="19"/>
        <item x="71"/>
        <item x="54"/>
        <item x="5"/>
        <item x="58"/>
        <item x="21"/>
        <item x="40"/>
        <item x="35"/>
        <item x="41"/>
        <item x="90"/>
        <item x="37"/>
        <item x="33"/>
        <item x="70"/>
        <item x="6"/>
        <item x="94"/>
        <item x="7"/>
        <item x="62"/>
        <item x="13"/>
        <item x="95"/>
        <item x="36"/>
        <item x="72"/>
        <item x="63"/>
        <item x="75"/>
        <item x="16"/>
        <item x="47"/>
        <item x="53"/>
        <item x="49"/>
        <item x="48"/>
        <item x="46"/>
        <item x="64"/>
        <item x="73"/>
        <item x="91"/>
        <item x="87"/>
        <item x="30"/>
        <item x="23"/>
        <item x="78"/>
        <item x="25"/>
        <item x="84"/>
        <item x="11"/>
        <item x="26"/>
        <item x="18"/>
        <item x="2"/>
        <item x="4"/>
        <item x="51"/>
        <item x="28"/>
        <item x="61"/>
        <item x="1"/>
        <item x="74"/>
        <item x="0"/>
        <item x="85"/>
        <item x="15"/>
        <item x="55"/>
        <item x="29"/>
        <item x="14"/>
        <item x="32"/>
        <item x="57"/>
        <item x="56"/>
        <item x="12"/>
        <item x="17"/>
        <item x="27"/>
        <item x="39"/>
        <item t="default"/>
      </items>
    </pivotField>
    <pivotField numFmtId="9" showAll="0"/>
    <pivotField multipleItemSelectionAllowed="1" showAll="0" sumSubtotal="1">
      <items count="25">
        <item h="1" x="23"/>
        <item h="1" x="0"/>
        <item h="1" x="1"/>
        <item h="1" x="2"/>
        <item h="1" x="3"/>
        <item h="1" x="4"/>
        <item h="1" x="5"/>
        <item h="1" x="6"/>
        <item h="1" x="7"/>
        <item h="1" x="8"/>
        <item h="1" x="9"/>
        <item h="1" x="10"/>
        <item h="1" x="11"/>
        <item h="1" x="12"/>
        <item x="13"/>
        <item x="14"/>
        <item x="15"/>
        <item x="16"/>
        <item x="17"/>
        <item x="18"/>
        <item x="19"/>
        <item x="20"/>
        <item x="21"/>
        <item x="22"/>
        <item t="sum"/>
      </items>
    </pivotField>
    <pivotField axis="axisPage" dataField="1" multipleItemSelectionAllowed="1" showAll="0">
      <items count="24">
        <item h="1" x="22"/>
        <item x="3"/>
        <item x="13"/>
        <item x="9"/>
        <item h="1" x="10"/>
        <item x="8"/>
        <item h="1" x="20"/>
        <item h="1" x="18"/>
        <item h="1" x="21"/>
        <item h="1" x="19"/>
        <item h="1" x="1"/>
        <item h="1" x="16"/>
        <item h="1" x="6"/>
        <item h="1" x="2"/>
        <item h="1" x="15"/>
        <item h="1" x="14"/>
        <item h="1" x="12"/>
        <item h="1" x="17"/>
        <item h="1" x="4"/>
        <item h="1" x="7"/>
        <item h="1" x="11"/>
        <item h="1" x="5"/>
        <item h="1" x="0"/>
        <item t="default"/>
      </items>
    </pivotField>
    <pivotField showAll="0">
      <items count="4">
        <item x="1"/>
        <item x="2"/>
        <item x="0"/>
        <item t="default"/>
      </items>
    </pivotField>
    <pivotField showAll="0">
      <items count="4">
        <item x="1"/>
        <item x="2"/>
        <item x="0"/>
        <item t="default"/>
      </items>
    </pivotField>
  </pivotFields>
  <rowFields count="1">
    <field x="0"/>
  </rowFields>
  <rowItems count="7">
    <i>
      <x v="4"/>
    </i>
    <i>
      <x v="50"/>
    </i>
    <i>
      <x v="67"/>
    </i>
    <i>
      <x v="73"/>
    </i>
    <i>
      <x v="78"/>
    </i>
    <i>
      <x v="83"/>
    </i>
    <i t="grand">
      <x/>
    </i>
  </rowItems>
  <colItems count="1">
    <i/>
  </colItems>
  <pageFields count="1">
    <pageField fld="6" hier="-1"/>
  </pageFields>
  <dataFields count="1">
    <dataField name="Product of Ratings" fld="6" subtotal="product" baseField="0" baseItem="2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990CE0-63EC-4AAE-8545-180DB3A23E54}" name="PivotTable3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3" firstHeaderRow="1" firstDataRow="1" firstDataCol="1"/>
  <pivotFields count="9">
    <pivotField axis="axisRow" showAll="0">
      <items count="110">
        <item x="11"/>
        <item x="52"/>
        <item x="6"/>
        <item x="39"/>
        <item x="37"/>
        <item x="56"/>
        <item x="77"/>
        <item x="15"/>
        <item x="55"/>
        <item x="102"/>
        <item x="83"/>
        <item x="43"/>
        <item x="101"/>
        <item x="93"/>
        <item x="67"/>
        <item x="78"/>
        <item x="17"/>
        <item x="28"/>
        <item x="53"/>
        <item x="79"/>
        <item x="38"/>
        <item x="96"/>
        <item x="35"/>
        <item x="60"/>
        <item x="57"/>
        <item x="22"/>
        <item x="47"/>
        <item x="50"/>
        <item x="48"/>
        <item x="82"/>
        <item x="40"/>
        <item x="107"/>
        <item x="92"/>
        <item x="65"/>
        <item x="81"/>
        <item x="25"/>
        <item x="99"/>
        <item x="100"/>
        <item x="46"/>
        <item x="76"/>
        <item x="8"/>
        <item x="23"/>
        <item x="98"/>
        <item x="62"/>
        <item x="2"/>
        <item x="108"/>
        <item x="69"/>
        <item x="66"/>
        <item x="85"/>
        <item x="104"/>
        <item x="64"/>
        <item x="75"/>
        <item x="10"/>
        <item x="68"/>
        <item x="80"/>
        <item x="73"/>
        <item x="7"/>
        <item x="0"/>
        <item x="29"/>
        <item x="54"/>
        <item x="31"/>
        <item x="42"/>
        <item x="34"/>
        <item x="3"/>
        <item x="44"/>
        <item x="4"/>
        <item x="18"/>
        <item x="27"/>
        <item x="12"/>
        <item x="20"/>
        <item x="14"/>
        <item x="59"/>
        <item x="32"/>
        <item x="21"/>
        <item x="103"/>
        <item x="16"/>
        <item x="1"/>
        <item x="41"/>
        <item x="97"/>
        <item x="61"/>
        <item x="30"/>
        <item x="88"/>
        <item x="58"/>
        <item x="72"/>
        <item x="33"/>
        <item x="84"/>
        <item x="86"/>
        <item x="9"/>
        <item x="70"/>
        <item x="71"/>
        <item x="13"/>
        <item x="49"/>
        <item x="95"/>
        <item x="36"/>
        <item x="90"/>
        <item x="51"/>
        <item x="91"/>
        <item x="63"/>
        <item x="105"/>
        <item x="74"/>
        <item x="106"/>
        <item x="45"/>
        <item x="89"/>
        <item x="94"/>
        <item x="5"/>
        <item x="87"/>
        <item x="24"/>
        <item x="26"/>
        <item x="19"/>
        <item t="default"/>
      </items>
    </pivotField>
    <pivotField numFmtId="2" showAll="0"/>
    <pivotField numFmtId="2" showAll="0"/>
    <pivotField numFmtId="2" showAll="0"/>
    <pivotField numFmtId="9" showAll="0"/>
    <pivotField showAll="0"/>
    <pivotField dataField="1" showAll="0"/>
    <pivotField showAll="0">
      <items count="4">
        <item x="1"/>
        <item x="2"/>
        <item x="0"/>
        <item t="default"/>
      </items>
    </pivotField>
    <pivotField showAll="0">
      <items count="4">
        <item x="1"/>
        <item x="2"/>
        <item x="0"/>
        <item t="default"/>
      </items>
    </pivotField>
  </pivotFields>
  <rowFields count="1">
    <field x="0"/>
  </rowFields>
  <rowItems count="11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t="grand">
      <x/>
    </i>
  </rowItems>
  <colItems count="1">
    <i/>
  </colItems>
  <dataFields count="1">
    <dataField name="Sum of Rating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A1F228-498E-4572-A873-D91325CC9F90}" name="PivotTable3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7:B51" firstHeaderRow="1" firstDataRow="1" firstDataCol="1"/>
  <pivotFields count="9">
    <pivotField dataField="1" showAll="0">
      <items count="110">
        <item x="11"/>
        <item x="52"/>
        <item x="6"/>
        <item x="39"/>
        <item x="37"/>
        <item x="56"/>
        <item x="77"/>
        <item x="15"/>
        <item x="55"/>
        <item x="102"/>
        <item x="83"/>
        <item x="43"/>
        <item x="101"/>
        <item x="93"/>
        <item x="67"/>
        <item x="78"/>
        <item x="17"/>
        <item x="28"/>
        <item x="53"/>
        <item x="79"/>
        <item x="38"/>
        <item x="96"/>
        <item x="35"/>
        <item x="60"/>
        <item x="57"/>
        <item x="22"/>
        <item x="47"/>
        <item x="50"/>
        <item x="48"/>
        <item x="82"/>
        <item x="40"/>
        <item x="107"/>
        <item x="92"/>
        <item x="65"/>
        <item x="81"/>
        <item x="25"/>
        <item x="99"/>
        <item x="100"/>
        <item x="46"/>
        <item x="76"/>
        <item x="8"/>
        <item x="23"/>
        <item x="98"/>
        <item x="62"/>
        <item x="2"/>
        <item x="108"/>
        <item x="69"/>
        <item x="66"/>
        <item x="85"/>
        <item x="104"/>
        <item x="64"/>
        <item x="75"/>
        <item x="10"/>
        <item x="68"/>
        <item x="80"/>
        <item x="73"/>
        <item x="7"/>
        <item x="0"/>
        <item x="29"/>
        <item x="54"/>
        <item x="31"/>
        <item x="42"/>
        <item x="34"/>
        <item x="3"/>
        <item x="44"/>
        <item x="4"/>
        <item x="18"/>
        <item x="27"/>
        <item x="12"/>
        <item x="20"/>
        <item x="14"/>
        <item x="59"/>
        <item x="32"/>
        <item x="21"/>
        <item x="103"/>
        <item x="16"/>
        <item x="1"/>
        <item x="41"/>
        <item x="97"/>
        <item x="61"/>
        <item x="30"/>
        <item x="88"/>
        <item x="58"/>
        <item x="72"/>
        <item x="33"/>
        <item x="84"/>
        <item x="86"/>
        <item x="9"/>
        <item x="70"/>
        <item x="71"/>
        <item x="13"/>
        <item x="49"/>
        <item x="95"/>
        <item x="36"/>
        <item x="90"/>
        <item x="51"/>
        <item x="91"/>
        <item x="63"/>
        <item x="105"/>
        <item x="74"/>
        <item x="106"/>
        <item x="45"/>
        <item x="89"/>
        <item x="94"/>
        <item x="5"/>
        <item x="87"/>
        <item x="24"/>
        <item x="26"/>
        <item x="19"/>
        <item t="default"/>
      </items>
    </pivotField>
    <pivotField numFmtId="2" showAll="0"/>
    <pivotField numFmtId="2" showAll="0"/>
    <pivotField numFmtId="2" showAll="0"/>
    <pivotField numFmtId="9" showAll="0"/>
    <pivotField showAll="0"/>
    <pivotField showAll="0"/>
    <pivotField showAll="0">
      <items count="4">
        <item x="1"/>
        <item x="2"/>
        <item x="0"/>
        <item t="default"/>
      </items>
    </pivotField>
    <pivotField axis="axisRow" showAll="0">
      <items count="4">
        <item x="1"/>
        <item x="2"/>
        <item x="0"/>
        <item t="default"/>
      </items>
    </pivotField>
  </pivotFields>
  <rowFields count="1">
    <field x="8"/>
  </rowFields>
  <rowItems count="4">
    <i>
      <x/>
    </i>
    <i>
      <x v="1"/>
    </i>
    <i>
      <x v="2"/>
    </i>
    <i t="grand">
      <x/>
    </i>
  </rowItems>
  <colItems count="1">
    <i/>
  </colItems>
  <dataFields count="1">
    <dataField name="Count of Product"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7E7BD9-FCFF-4096-8254-76486C9CCD6D}" name="PivotTable3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1:B35" firstHeaderRow="1" firstDataRow="1" firstDataCol="1"/>
  <pivotFields count="9">
    <pivotField dataField="1" showAll="0">
      <items count="110">
        <item x="11"/>
        <item x="52"/>
        <item x="6"/>
        <item x="39"/>
        <item x="37"/>
        <item x="56"/>
        <item x="77"/>
        <item x="15"/>
        <item x="55"/>
        <item x="102"/>
        <item x="83"/>
        <item x="43"/>
        <item x="101"/>
        <item x="93"/>
        <item x="67"/>
        <item x="78"/>
        <item x="17"/>
        <item x="28"/>
        <item x="53"/>
        <item x="79"/>
        <item x="38"/>
        <item x="96"/>
        <item x="35"/>
        <item x="60"/>
        <item x="57"/>
        <item x="22"/>
        <item x="47"/>
        <item x="50"/>
        <item x="48"/>
        <item x="82"/>
        <item x="40"/>
        <item x="107"/>
        <item x="92"/>
        <item x="65"/>
        <item x="81"/>
        <item x="25"/>
        <item x="99"/>
        <item x="100"/>
        <item x="46"/>
        <item x="76"/>
        <item x="8"/>
        <item x="23"/>
        <item x="98"/>
        <item x="62"/>
        <item x="2"/>
        <item x="108"/>
        <item x="69"/>
        <item x="66"/>
        <item x="85"/>
        <item x="104"/>
        <item x="64"/>
        <item x="75"/>
        <item x="10"/>
        <item x="68"/>
        <item x="80"/>
        <item x="73"/>
        <item x="7"/>
        <item x="0"/>
        <item x="29"/>
        <item x="54"/>
        <item x="31"/>
        <item x="42"/>
        <item x="34"/>
        <item x="3"/>
        <item x="44"/>
        <item x="4"/>
        <item x="18"/>
        <item x="27"/>
        <item x="12"/>
        <item x="20"/>
        <item x="14"/>
        <item x="59"/>
        <item x="32"/>
        <item x="21"/>
        <item x="103"/>
        <item x="16"/>
        <item x="1"/>
        <item x="41"/>
        <item x="97"/>
        <item x="61"/>
        <item x="30"/>
        <item x="88"/>
        <item x="58"/>
        <item x="72"/>
        <item x="33"/>
        <item x="84"/>
        <item x="86"/>
        <item x="9"/>
        <item x="70"/>
        <item x="71"/>
        <item x="13"/>
        <item x="49"/>
        <item x="95"/>
        <item x="36"/>
        <item x="90"/>
        <item x="51"/>
        <item x="91"/>
        <item x="63"/>
        <item x="105"/>
        <item x="74"/>
        <item x="106"/>
        <item x="45"/>
        <item x="89"/>
        <item x="94"/>
        <item x="5"/>
        <item x="87"/>
        <item x="24"/>
        <item x="26"/>
        <item x="19"/>
        <item t="default"/>
      </items>
    </pivotField>
    <pivotField numFmtId="2" showAll="0"/>
    <pivotField numFmtId="2" showAll="0"/>
    <pivotField numFmtId="2" showAll="0"/>
    <pivotField numFmtId="9" showAll="0"/>
    <pivotField showAll="0"/>
    <pivotField showAll="0"/>
    <pivotField axis="axisRow" showAll="0">
      <items count="4">
        <item x="1"/>
        <item x="2"/>
        <item x="0"/>
        <item t="default"/>
      </items>
    </pivotField>
    <pivotField showAll="0">
      <items count="4">
        <item x="1"/>
        <item x="2"/>
        <item x="0"/>
        <item t="default"/>
      </items>
    </pivotField>
  </pivotFields>
  <rowFields count="1">
    <field x="7"/>
  </rowFields>
  <rowItems count="4">
    <i>
      <x/>
    </i>
    <i>
      <x v="1"/>
    </i>
    <i>
      <x v="2"/>
    </i>
    <i t="grand">
      <x/>
    </i>
  </rowItems>
  <colItems count="1">
    <i/>
  </colItems>
  <dataFields count="1">
    <dataField name="Count of Product"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0ACC74-9A2C-4209-BD15-2FB99DD14324}" name="PivotTable3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8:B22" firstHeaderRow="1" firstDataRow="1" firstDataCol="1"/>
  <pivotFields count="9">
    <pivotField showAll="0"/>
    <pivotField numFmtId="2" showAll="0"/>
    <pivotField numFmtId="2" showAll="0"/>
    <pivotField numFmtId="2" showAll="0"/>
    <pivotField numFmtId="9" showAll="0"/>
    <pivotField dataField="1" showAll="0"/>
    <pivotField showAll="0"/>
    <pivotField axis="axisRow" showAll="0">
      <items count="4">
        <item x="1"/>
        <item x="2"/>
        <item x="0"/>
        <item t="default"/>
      </items>
    </pivotField>
    <pivotField showAll="0"/>
  </pivotFields>
  <rowFields count="1">
    <field x="7"/>
  </rowFields>
  <rowItems count="4">
    <i>
      <x/>
    </i>
    <i>
      <x v="1"/>
    </i>
    <i>
      <x v="2"/>
    </i>
    <i t="grand">
      <x/>
    </i>
  </rowItems>
  <colItems count="1">
    <i/>
  </colItems>
  <dataFields count="1">
    <dataField name="Sum of No of Review" fld="5"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A87549-0ED0-4E92-9E14-9D2EF397CC5E}" name="PivotTable3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7" firstHeaderRow="1" firstDataRow="1" firstDataCol="1"/>
  <pivotFields count="9">
    <pivotField showAll="0" countASubtotal="1">
      <items count="110">
        <item x="11"/>
        <item x="52"/>
        <item x="6"/>
        <item x="39"/>
        <item x="37"/>
        <item x="56"/>
        <item x="77"/>
        <item x="15"/>
        <item x="55"/>
        <item x="102"/>
        <item x="83"/>
        <item x="43"/>
        <item x="101"/>
        <item x="93"/>
        <item x="67"/>
        <item x="78"/>
        <item x="17"/>
        <item x="28"/>
        <item x="53"/>
        <item x="79"/>
        <item x="38"/>
        <item x="96"/>
        <item x="35"/>
        <item x="60"/>
        <item x="57"/>
        <item x="22"/>
        <item x="47"/>
        <item x="50"/>
        <item x="48"/>
        <item x="82"/>
        <item x="40"/>
        <item x="107"/>
        <item x="92"/>
        <item x="65"/>
        <item x="81"/>
        <item x="25"/>
        <item x="99"/>
        <item x="100"/>
        <item x="46"/>
        <item x="76"/>
        <item x="8"/>
        <item x="23"/>
        <item x="98"/>
        <item x="62"/>
        <item x="2"/>
        <item x="108"/>
        <item x="69"/>
        <item x="66"/>
        <item x="85"/>
        <item x="104"/>
        <item x="64"/>
        <item x="75"/>
        <item x="10"/>
        <item x="68"/>
        <item x="80"/>
        <item x="73"/>
        <item x="7"/>
        <item x="0"/>
        <item x="29"/>
        <item x="54"/>
        <item x="31"/>
        <item x="42"/>
        <item x="34"/>
        <item x="3"/>
        <item x="44"/>
        <item x="4"/>
        <item x="18"/>
        <item x="27"/>
        <item x="12"/>
        <item x="20"/>
        <item x="14"/>
        <item x="59"/>
        <item x="32"/>
        <item x="21"/>
        <item x="103"/>
        <item x="16"/>
        <item x="1"/>
        <item x="41"/>
        <item x="97"/>
        <item x="61"/>
        <item x="30"/>
        <item x="88"/>
        <item x="58"/>
        <item x="72"/>
        <item x="33"/>
        <item x="84"/>
        <item x="86"/>
        <item x="9"/>
        <item x="70"/>
        <item x="71"/>
        <item x="13"/>
        <item x="49"/>
        <item x="95"/>
        <item x="36"/>
        <item x="90"/>
        <item x="51"/>
        <item x="91"/>
        <item x="63"/>
        <item x="105"/>
        <item x="74"/>
        <item x="106"/>
        <item x="45"/>
        <item x="89"/>
        <item x="94"/>
        <item x="5"/>
        <item x="87"/>
        <item x="24"/>
        <item x="26"/>
        <item x="19"/>
        <item t="countA"/>
      </items>
    </pivotField>
    <pivotField numFmtId="2" showAll="0"/>
    <pivotField numFmtId="2" showAll="0"/>
    <pivotField numFmtId="2" showAll="0"/>
    <pivotField numFmtId="9" showAll="0"/>
    <pivotField showAll="0"/>
    <pivotField dataField="1" showAll="0">
      <items count="24">
        <item x="22"/>
        <item x="3"/>
        <item x="13"/>
        <item x="9"/>
        <item x="10"/>
        <item x="8"/>
        <item x="20"/>
        <item x="18"/>
        <item x="21"/>
        <item x="19"/>
        <item x="1"/>
        <item x="16"/>
        <item x="6"/>
        <item x="2"/>
        <item x="15"/>
        <item x="14"/>
        <item x="12"/>
        <item x="17"/>
        <item x="4"/>
        <item x="7"/>
        <item x="11"/>
        <item x="5"/>
        <item x="0"/>
        <item t="default"/>
      </items>
    </pivotField>
    <pivotField showAll="0">
      <items count="4">
        <item x="1"/>
        <item x="2"/>
        <item x="0"/>
        <item t="default"/>
      </items>
    </pivotField>
    <pivotField axis="axisRow" showAll="0">
      <items count="4">
        <item x="1"/>
        <item x="2"/>
        <item x="0"/>
        <item t="default"/>
      </items>
    </pivotField>
  </pivotFields>
  <rowFields count="1">
    <field x="8"/>
  </rowFields>
  <rowItems count="4">
    <i>
      <x/>
    </i>
    <i>
      <x v="1"/>
    </i>
    <i>
      <x v="2"/>
    </i>
    <i t="grand">
      <x/>
    </i>
  </rowItems>
  <colItems count="1">
    <i/>
  </colItems>
  <dataFields count="1">
    <dataField name="Sum of Ratings" fld="6" baseField="0" baseItem="0"/>
  </dataFields>
  <chartFormats count="3">
    <chartFormat chart="0"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5606800E-2D4F-4927-A28B-41581187A6E1}" sourceName="Rating category">
  <pivotTables>
    <pivotTable tabId="10" name="PivotTable38"/>
    <pivotTable tabId="7" name="PivotTable17"/>
    <pivotTable tabId="9" name="PivotTable33"/>
    <pivotTable tabId="10" name="PivotTable35"/>
    <pivotTable tabId="10" name="PivotTable39"/>
    <pivotTable tabId="11" name="PivotTable36"/>
  </pivotTables>
  <data>
    <tabular pivotCacheId="1460867350">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_category" xr10:uid="{3C38AB12-9E47-47D3-8E7B-239B188C68E3}" sourceName="Discount  category">
  <pivotTables>
    <pivotTable tabId="10" name="PivotTable38"/>
    <pivotTable tabId="7" name="PivotTable17"/>
    <pivotTable tabId="9" name="PivotTable33"/>
    <pivotTable tabId="10" name="PivotTable35"/>
    <pivotTable tabId="10" name="PivotTable39"/>
    <pivotTable tabId="11" name="PivotTable36"/>
  </pivotTables>
  <data>
    <tabular pivotCacheId="1460867350">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xr10:uid="{A2C58148-B2E3-46D9-8727-2AC303EE6C88}" cache="Slicer_Rating_category" caption="Rating category" rowHeight="257175"/>
  <slicer name="Discount  category" xr10:uid="{E3B6E464-8C60-4496-84EC-6A74978BC766}" cache="Slicer_Discount__category" caption="Discount  category"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FBC551-B0AE-4956-8903-8DE33FE2D9BD}" name="Table1" displayName="Table1" ref="A1:I110" totalsRowShown="0" headerRowDxfId="8">
  <autoFilter ref="A1:I110" xr:uid="{B8FBC551-B0AE-4956-8903-8DE33FE2D9BD}"/>
  <sortState xmlns:xlrd2="http://schemas.microsoft.com/office/spreadsheetml/2017/richdata2" ref="A2:I110">
    <sortCondition descending="1" ref="D1:D110"/>
  </sortState>
  <tableColumns count="9">
    <tableColumn id="1" xr3:uid="{D5770821-CAD2-48C2-A753-B2D5EDB5043A}" name="Product"/>
    <tableColumn id="2" xr3:uid="{1A2FFD26-D36C-44A4-8E5A-67B1C677B2AB}" name="Current price" dataDxfId="7"/>
    <tableColumn id="3" xr3:uid="{D44C1C5F-A7B5-4446-934B-A17D8B504209}" name="old price" dataDxfId="6"/>
    <tableColumn id="4" xr3:uid="{FA4A0957-ADAB-49DC-A6CB-3068B56A0027}" name="Discount amnt" dataDxfId="5">
      <calculatedColumnFormula>C2-B2</calculatedColumnFormula>
    </tableColumn>
    <tableColumn id="5" xr3:uid="{262169AD-4EF9-4CCA-82EE-DECC7752372A}" name="Discount %" dataDxfId="4"/>
    <tableColumn id="6" xr3:uid="{827E921E-92E3-40D3-8EEF-B2750D2F5AD4}" name="No of Review"/>
    <tableColumn id="7" xr3:uid="{7BDD6905-E0A4-475E-AE07-A97707945FAD}" name="Ratings"/>
    <tableColumn id="8" xr3:uid="{056B78F3-F94E-4168-B357-24062B484E99}" name="Rating category">
      <calculatedColumnFormula>IF(F2&lt;3,"poor",IF(F2&lt;=4.4,"Average",IF(F2&gt;=4.5,"Excellent")))</calculatedColumnFormula>
    </tableColumn>
    <tableColumn id="9" xr3:uid="{85A1FF15-931B-4CA4-86E0-2BF868E92485}" name="Discount  category">
      <calculatedColumnFormula>IF(E2&lt;20%,"Low Discount",IF(E2&lt;=40%,"Medium Discount",IF(E2&gt;40%,"High Discount")))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drawing" Target="../drawings/drawing3.xml"/><Relationship Id="rId4"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B6201-C477-46EE-ADC1-A04424799517}">
  <dimension ref="A1:F116"/>
  <sheetViews>
    <sheetView workbookViewId="0">
      <selection activeCell="C1" sqref="C1"/>
    </sheetView>
  </sheetViews>
  <sheetFormatPr defaultRowHeight="14.5" x14ac:dyDescent="0.35"/>
  <cols>
    <col min="6" max="6" width="9.54296875" bestFit="1" customWidth="1"/>
  </cols>
  <sheetData>
    <row r="1" spans="1:6" x14ac:dyDescent="0.35">
      <c r="A1" t="s">
        <v>0</v>
      </c>
      <c r="B1" t="s">
        <v>1</v>
      </c>
      <c r="C1" t="s">
        <v>2</v>
      </c>
      <c r="D1" t="s">
        <v>3</v>
      </c>
      <c r="E1" t="s">
        <v>4</v>
      </c>
      <c r="F1" t="s">
        <v>5</v>
      </c>
    </row>
    <row r="2" spans="1:6" x14ac:dyDescent="0.35">
      <c r="A2" t="s">
        <v>6</v>
      </c>
      <c r="B2" t="s">
        <v>7</v>
      </c>
      <c r="C2" t="s">
        <v>8</v>
      </c>
      <c r="D2" s="1">
        <v>0.38</v>
      </c>
      <c r="E2">
        <v>-2</v>
      </c>
      <c r="F2" t="s">
        <v>9</v>
      </c>
    </row>
    <row r="3" spans="1:6" x14ac:dyDescent="0.35">
      <c r="A3" t="s">
        <v>10</v>
      </c>
      <c r="B3" t="s">
        <v>11</v>
      </c>
      <c r="C3" t="s">
        <v>12</v>
      </c>
      <c r="D3" s="1">
        <v>0.47</v>
      </c>
      <c r="E3">
        <v>-14</v>
      </c>
      <c r="F3" t="s">
        <v>13</v>
      </c>
    </row>
    <row r="4" spans="1:6" x14ac:dyDescent="0.35">
      <c r="A4" t="s">
        <v>14</v>
      </c>
      <c r="B4" t="s">
        <v>15</v>
      </c>
      <c r="C4" t="s">
        <v>16</v>
      </c>
      <c r="D4" s="1">
        <v>0.25</v>
      </c>
      <c r="E4">
        <v>-24</v>
      </c>
      <c r="F4" t="s">
        <v>17</v>
      </c>
    </row>
    <row r="5" spans="1:6" x14ac:dyDescent="0.35">
      <c r="A5" t="s">
        <v>18</v>
      </c>
      <c r="B5" t="s">
        <v>19</v>
      </c>
      <c r="C5" t="s">
        <v>20</v>
      </c>
      <c r="D5" s="1">
        <v>0.37</v>
      </c>
      <c r="E5">
        <v>-7</v>
      </c>
      <c r="F5" t="s">
        <v>21</v>
      </c>
    </row>
    <row r="6" spans="1:6" x14ac:dyDescent="0.35">
      <c r="A6" t="s">
        <v>22</v>
      </c>
      <c r="B6" t="s">
        <v>23</v>
      </c>
      <c r="C6" t="s">
        <v>24</v>
      </c>
      <c r="D6" s="1">
        <v>0.26</v>
      </c>
      <c r="E6">
        <v>-5</v>
      </c>
      <c r="F6" t="s">
        <v>25</v>
      </c>
    </row>
    <row r="7" spans="1:6" x14ac:dyDescent="0.35">
      <c r="A7" t="s">
        <v>26</v>
      </c>
      <c r="B7" t="s">
        <v>27</v>
      </c>
      <c r="C7" t="s">
        <v>28</v>
      </c>
      <c r="D7" s="1">
        <v>0.09</v>
      </c>
      <c r="E7">
        <v>-15</v>
      </c>
      <c r="F7" t="s">
        <v>29</v>
      </c>
    </row>
    <row r="8" spans="1:6" x14ac:dyDescent="0.35">
      <c r="A8" t="s">
        <v>30</v>
      </c>
      <c r="B8" t="s">
        <v>31</v>
      </c>
      <c r="C8" t="s">
        <v>32</v>
      </c>
      <c r="D8" s="1">
        <v>0.24</v>
      </c>
      <c r="E8">
        <v>-55</v>
      </c>
      <c r="F8" t="s">
        <v>17</v>
      </c>
    </row>
    <row r="9" spans="1:6" x14ac:dyDescent="0.35">
      <c r="A9" t="s">
        <v>33</v>
      </c>
      <c r="B9" t="s">
        <v>34</v>
      </c>
      <c r="C9" t="s">
        <v>19</v>
      </c>
      <c r="D9" s="1">
        <v>0.37</v>
      </c>
      <c r="E9">
        <v>-2</v>
      </c>
      <c r="F9" t="s">
        <v>29</v>
      </c>
    </row>
    <row r="10" spans="1:6" x14ac:dyDescent="0.35">
      <c r="A10" t="s">
        <v>35</v>
      </c>
      <c r="B10" t="s">
        <v>36</v>
      </c>
      <c r="C10" t="s">
        <v>37</v>
      </c>
      <c r="D10" s="1">
        <v>0.55000000000000004</v>
      </c>
      <c r="E10">
        <v>-5</v>
      </c>
      <c r="F10" t="s">
        <v>25</v>
      </c>
    </row>
    <row r="11" spans="1:6" x14ac:dyDescent="0.35">
      <c r="A11" t="s">
        <v>38</v>
      </c>
      <c r="B11" t="s">
        <v>39</v>
      </c>
      <c r="C11" t="s">
        <v>40</v>
      </c>
      <c r="D11" s="1">
        <v>0.45</v>
      </c>
      <c r="E11">
        <v>-5</v>
      </c>
      <c r="F11" t="s">
        <v>41</v>
      </c>
    </row>
    <row r="12" spans="1:6" x14ac:dyDescent="0.35">
      <c r="A12" t="s">
        <v>42</v>
      </c>
      <c r="B12" t="s">
        <v>43</v>
      </c>
      <c r="C12" t="s">
        <v>12</v>
      </c>
      <c r="D12" s="1">
        <v>0.2</v>
      </c>
      <c r="E12">
        <v>-12</v>
      </c>
      <c r="F12" t="s">
        <v>13</v>
      </c>
    </row>
    <row r="13" spans="1:6" x14ac:dyDescent="0.35">
      <c r="A13" t="s">
        <v>44</v>
      </c>
      <c r="B13" t="s">
        <v>45</v>
      </c>
      <c r="C13" t="s">
        <v>46</v>
      </c>
      <c r="D13" s="1">
        <v>0.34</v>
      </c>
      <c r="E13">
        <v>-39</v>
      </c>
      <c r="F13" t="s">
        <v>21</v>
      </c>
    </row>
    <row r="14" spans="1:6" x14ac:dyDescent="0.35">
      <c r="A14" t="s">
        <v>47</v>
      </c>
      <c r="B14" t="s">
        <v>48</v>
      </c>
      <c r="C14" t="s">
        <v>49</v>
      </c>
      <c r="D14" s="1">
        <v>0.47</v>
      </c>
      <c r="E14">
        <v>-12</v>
      </c>
      <c r="F14" t="s">
        <v>25</v>
      </c>
    </row>
    <row r="15" spans="1:6" x14ac:dyDescent="0.35">
      <c r="A15" t="s">
        <v>50</v>
      </c>
      <c r="B15" t="s">
        <v>51</v>
      </c>
      <c r="C15" t="s">
        <v>52</v>
      </c>
      <c r="D15" s="1">
        <v>0.42</v>
      </c>
      <c r="E15">
        <v>-6</v>
      </c>
      <c r="F15" t="s">
        <v>9</v>
      </c>
    </row>
    <row r="16" spans="1:6" x14ac:dyDescent="0.35">
      <c r="A16" t="s">
        <v>53</v>
      </c>
      <c r="B16" t="s">
        <v>54</v>
      </c>
      <c r="C16" t="s">
        <v>20</v>
      </c>
      <c r="D16" s="1">
        <v>0.33</v>
      </c>
      <c r="E16">
        <v>-9</v>
      </c>
      <c r="F16" t="s">
        <v>55</v>
      </c>
    </row>
    <row r="17" spans="1:6" x14ac:dyDescent="0.35">
      <c r="A17" t="s">
        <v>56</v>
      </c>
      <c r="B17" t="s">
        <v>57</v>
      </c>
      <c r="C17" t="s">
        <v>58</v>
      </c>
      <c r="D17" s="1">
        <v>0.51</v>
      </c>
      <c r="E17">
        <v>-2</v>
      </c>
      <c r="F17" t="s">
        <v>59</v>
      </c>
    </row>
    <row r="18" spans="1:6" x14ac:dyDescent="0.35">
      <c r="A18" t="s">
        <v>60</v>
      </c>
      <c r="B18" t="s">
        <v>61</v>
      </c>
      <c r="C18" t="s">
        <v>62</v>
      </c>
      <c r="D18" s="1">
        <v>0.46</v>
      </c>
      <c r="E18">
        <v>-2</v>
      </c>
      <c r="F18" t="s">
        <v>59</v>
      </c>
    </row>
    <row r="19" spans="1:6" x14ac:dyDescent="0.35">
      <c r="A19" t="s">
        <v>63</v>
      </c>
      <c r="B19" t="s">
        <v>64</v>
      </c>
      <c r="C19" t="s">
        <v>65</v>
      </c>
      <c r="D19" s="1">
        <v>0.49</v>
      </c>
      <c r="E19">
        <v>-3</v>
      </c>
      <c r="F19" t="s">
        <v>59</v>
      </c>
    </row>
    <row r="20" spans="1:6" x14ac:dyDescent="0.35">
      <c r="A20" t="s">
        <v>66</v>
      </c>
      <c r="B20" t="s">
        <v>27</v>
      </c>
      <c r="C20" t="s">
        <v>67</v>
      </c>
      <c r="D20" s="1">
        <v>0.19</v>
      </c>
      <c r="E20">
        <v>-5</v>
      </c>
      <c r="F20" t="s">
        <v>17</v>
      </c>
    </row>
    <row r="21" spans="1:6" x14ac:dyDescent="0.35">
      <c r="A21" t="s">
        <v>68</v>
      </c>
      <c r="B21" t="s">
        <v>69</v>
      </c>
      <c r="C21" t="s">
        <v>70</v>
      </c>
      <c r="D21" s="1">
        <v>0.49</v>
      </c>
      <c r="E21">
        <v>-44</v>
      </c>
      <c r="F21" t="s">
        <v>17</v>
      </c>
    </row>
    <row r="22" spans="1:6" x14ac:dyDescent="0.35">
      <c r="A22" t="s">
        <v>71</v>
      </c>
      <c r="B22" t="s">
        <v>72</v>
      </c>
      <c r="C22" t="s">
        <v>73</v>
      </c>
      <c r="D22" s="1">
        <v>0.53</v>
      </c>
      <c r="E22">
        <v>-13</v>
      </c>
      <c r="F22" t="s">
        <v>74</v>
      </c>
    </row>
    <row r="23" spans="1:6" x14ac:dyDescent="0.35">
      <c r="A23" t="s">
        <v>75</v>
      </c>
      <c r="B23" t="s">
        <v>76</v>
      </c>
      <c r="C23" t="s">
        <v>77</v>
      </c>
      <c r="D23" s="1">
        <v>0.42</v>
      </c>
    </row>
    <row r="24" spans="1:6" x14ac:dyDescent="0.35">
      <c r="A24" t="s">
        <v>78</v>
      </c>
      <c r="B24" t="s">
        <v>79</v>
      </c>
      <c r="C24" t="s">
        <v>80</v>
      </c>
      <c r="D24" s="1">
        <v>0.35</v>
      </c>
      <c r="E24">
        <v>-6</v>
      </c>
      <c r="F24" t="s">
        <v>29</v>
      </c>
    </row>
    <row r="25" spans="1:6" x14ac:dyDescent="0.35">
      <c r="A25" t="s">
        <v>81</v>
      </c>
      <c r="B25" t="s">
        <v>82</v>
      </c>
      <c r="C25" t="s">
        <v>83</v>
      </c>
      <c r="D25" s="1">
        <v>0.23</v>
      </c>
      <c r="E25">
        <v>-14</v>
      </c>
      <c r="F25" t="s">
        <v>84</v>
      </c>
    </row>
    <row r="26" spans="1:6" x14ac:dyDescent="0.35">
      <c r="A26" t="s">
        <v>85</v>
      </c>
      <c r="B26" t="s">
        <v>86</v>
      </c>
      <c r="C26" t="s">
        <v>87</v>
      </c>
      <c r="D26" s="1">
        <v>0.54</v>
      </c>
      <c r="E26">
        <v>-7</v>
      </c>
      <c r="F26" t="s">
        <v>88</v>
      </c>
    </row>
    <row r="27" spans="1:6" x14ac:dyDescent="0.35">
      <c r="A27" t="s">
        <v>89</v>
      </c>
      <c r="B27" t="s">
        <v>90</v>
      </c>
      <c r="C27" t="s">
        <v>91</v>
      </c>
      <c r="D27" s="1">
        <v>0.35</v>
      </c>
      <c r="E27">
        <v>-49</v>
      </c>
      <c r="F27" t="s">
        <v>17</v>
      </c>
    </row>
    <row r="28" spans="1:6" x14ac:dyDescent="0.35">
      <c r="A28" t="s">
        <v>92</v>
      </c>
      <c r="B28" t="s">
        <v>93</v>
      </c>
      <c r="C28" t="s">
        <v>94</v>
      </c>
      <c r="D28" s="1">
        <v>0.18</v>
      </c>
      <c r="E28">
        <v>-12</v>
      </c>
      <c r="F28" t="s">
        <v>41</v>
      </c>
    </row>
    <row r="29" spans="1:6" x14ac:dyDescent="0.35">
      <c r="A29" t="s">
        <v>95</v>
      </c>
      <c r="B29" t="s">
        <v>80</v>
      </c>
      <c r="C29" t="s">
        <v>96</v>
      </c>
      <c r="D29" s="1">
        <v>0.32</v>
      </c>
      <c r="E29">
        <v>-13</v>
      </c>
      <c r="F29" t="s">
        <v>41</v>
      </c>
    </row>
    <row r="30" spans="1:6" x14ac:dyDescent="0.35">
      <c r="A30" t="s">
        <v>97</v>
      </c>
      <c r="B30" t="s">
        <v>98</v>
      </c>
      <c r="C30" t="s">
        <v>20</v>
      </c>
      <c r="D30" s="1">
        <v>0.3</v>
      </c>
      <c r="E30">
        <v>-20</v>
      </c>
      <c r="F30" t="s">
        <v>13</v>
      </c>
    </row>
    <row r="31" spans="1:6" x14ac:dyDescent="0.35">
      <c r="A31" t="s">
        <v>99</v>
      </c>
      <c r="B31" t="s">
        <v>100</v>
      </c>
      <c r="C31" t="s">
        <v>101</v>
      </c>
      <c r="D31" s="1">
        <v>0.46</v>
      </c>
    </row>
    <row r="32" spans="1:6" x14ac:dyDescent="0.35">
      <c r="A32" t="s">
        <v>102</v>
      </c>
      <c r="B32" t="s">
        <v>103</v>
      </c>
      <c r="C32" t="s">
        <v>104</v>
      </c>
      <c r="D32" s="1">
        <v>0.52</v>
      </c>
      <c r="E32">
        <v>-9</v>
      </c>
      <c r="F32" t="s">
        <v>88</v>
      </c>
    </row>
    <row r="33" spans="1:6" x14ac:dyDescent="0.35">
      <c r="A33" t="s">
        <v>105</v>
      </c>
      <c r="B33" t="s">
        <v>106</v>
      </c>
      <c r="C33" t="s">
        <v>107</v>
      </c>
      <c r="D33" s="1">
        <v>0.34</v>
      </c>
      <c r="E33">
        <v>-12</v>
      </c>
      <c r="F33" t="s">
        <v>21</v>
      </c>
    </row>
    <row r="34" spans="1:6" x14ac:dyDescent="0.35">
      <c r="A34" t="s">
        <v>108</v>
      </c>
      <c r="B34" t="s">
        <v>109</v>
      </c>
      <c r="C34" t="s">
        <v>110</v>
      </c>
      <c r="D34" s="1">
        <v>0.48</v>
      </c>
      <c r="E34">
        <v>-9</v>
      </c>
      <c r="F34" t="s">
        <v>88</v>
      </c>
    </row>
    <row r="35" spans="1:6" x14ac:dyDescent="0.35">
      <c r="A35" t="s">
        <v>111</v>
      </c>
      <c r="B35" t="s">
        <v>112</v>
      </c>
      <c r="C35" t="s">
        <v>113</v>
      </c>
      <c r="D35" s="1">
        <v>0.27</v>
      </c>
      <c r="E35">
        <v>-20</v>
      </c>
      <c r="F35" t="s">
        <v>21</v>
      </c>
    </row>
    <row r="36" spans="1:6" x14ac:dyDescent="0.35">
      <c r="A36" t="s">
        <v>114</v>
      </c>
      <c r="B36" t="s">
        <v>115</v>
      </c>
      <c r="C36" t="s">
        <v>116</v>
      </c>
      <c r="D36" s="1">
        <v>0.27</v>
      </c>
      <c r="E36">
        <v>-32</v>
      </c>
      <c r="F36" t="s">
        <v>9</v>
      </c>
    </row>
    <row r="37" spans="1:6" x14ac:dyDescent="0.35">
      <c r="A37" t="s">
        <v>117</v>
      </c>
      <c r="B37" t="s">
        <v>118</v>
      </c>
      <c r="C37" t="s">
        <v>119</v>
      </c>
      <c r="D37" s="1">
        <v>0.4</v>
      </c>
      <c r="E37">
        <v>-1</v>
      </c>
      <c r="F37" t="s">
        <v>59</v>
      </c>
    </row>
    <row r="38" spans="1:6" x14ac:dyDescent="0.35">
      <c r="A38" t="s">
        <v>120</v>
      </c>
      <c r="B38" t="s">
        <v>121</v>
      </c>
      <c r="C38" t="s">
        <v>62</v>
      </c>
      <c r="D38" s="1">
        <v>0.53</v>
      </c>
      <c r="E38">
        <v>-2</v>
      </c>
      <c r="F38" t="s">
        <v>59</v>
      </c>
    </row>
    <row r="39" spans="1:6" x14ac:dyDescent="0.35">
      <c r="A39" t="s">
        <v>122</v>
      </c>
      <c r="B39" t="s">
        <v>123</v>
      </c>
      <c r="C39" t="s">
        <v>124</v>
      </c>
      <c r="D39" s="1">
        <v>0.41</v>
      </c>
      <c r="E39">
        <v>-36</v>
      </c>
      <c r="F39" t="s">
        <v>88</v>
      </c>
    </row>
    <row r="40" spans="1:6" x14ac:dyDescent="0.35">
      <c r="A40" t="s">
        <v>125</v>
      </c>
      <c r="B40" t="s">
        <v>126</v>
      </c>
      <c r="C40" t="s">
        <v>127</v>
      </c>
      <c r="D40" s="1">
        <v>0.38</v>
      </c>
      <c r="E40">
        <v>-2</v>
      </c>
      <c r="F40" t="s">
        <v>9</v>
      </c>
    </row>
    <row r="41" spans="1:6" x14ac:dyDescent="0.35">
      <c r="A41" t="s">
        <v>128</v>
      </c>
      <c r="B41" t="s">
        <v>129</v>
      </c>
      <c r="C41" t="s">
        <v>130</v>
      </c>
      <c r="D41" s="1">
        <v>0.38</v>
      </c>
    </row>
    <row r="42" spans="1:6" x14ac:dyDescent="0.35">
      <c r="A42" t="s">
        <v>131</v>
      </c>
      <c r="B42" t="s">
        <v>132</v>
      </c>
      <c r="C42" t="s">
        <v>133</v>
      </c>
      <c r="D42" s="1">
        <v>0.49</v>
      </c>
    </row>
    <row r="43" spans="1:6" x14ac:dyDescent="0.35">
      <c r="A43" t="s">
        <v>134</v>
      </c>
      <c r="B43" t="s">
        <v>135</v>
      </c>
      <c r="C43" t="s">
        <v>136</v>
      </c>
      <c r="D43" s="1">
        <v>0.5</v>
      </c>
    </row>
    <row r="44" spans="1:6" x14ac:dyDescent="0.35">
      <c r="A44" t="s">
        <v>137</v>
      </c>
      <c r="B44" t="s">
        <v>138</v>
      </c>
      <c r="C44" t="s">
        <v>139</v>
      </c>
      <c r="D44" s="1">
        <v>0.42</v>
      </c>
    </row>
    <row r="45" spans="1:6" x14ac:dyDescent="0.35">
      <c r="A45" t="s">
        <v>137</v>
      </c>
      <c r="B45" t="s">
        <v>138</v>
      </c>
      <c r="C45" t="s">
        <v>139</v>
      </c>
      <c r="D45" s="1">
        <v>0.42</v>
      </c>
    </row>
    <row r="46" spans="1:6" x14ac:dyDescent="0.35">
      <c r="A46" t="s">
        <v>140</v>
      </c>
      <c r="B46" t="s">
        <v>141</v>
      </c>
      <c r="C46" t="s">
        <v>142</v>
      </c>
      <c r="D46" s="1">
        <v>0.02</v>
      </c>
    </row>
    <row r="47" spans="1:6" x14ac:dyDescent="0.35">
      <c r="A47" t="s">
        <v>143</v>
      </c>
      <c r="B47" t="s">
        <v>12</v>
      </c>
      <c r="C47" t="s">
        <v>144</v>
      </c>
      <c r="D47" s="1">
        <v>0.5</v>
      </c>
    </row>
    <row r="48" spans="1:6" x14ac:dyDescent="0.35">
      <c r="A48" t="s">
        <v>145</v>
      </c>
      <c r="B48" t="s">
        <v>146</v>
      </c>
      <c r="C48" t="s">
        <v>147</v>
      </c>
      <c r="D48" s="1">
        <v>0.33</v>
      </c>
    </row>
    <row r="49" spans="1:6" x14ac:dyDescent="0.35">
      <c r="A49" t="s">
        <v>148</v>
      </c>
      <c r="B49" t="s">
        <v>149</v>
      </c>
      <c r="C49" t="s">
        <v>150</v>
      </c>
      <c r="D49" s="1">
        <v>0.49</v>
      </c>
    </row>
    <row r="50" spans="1:6" x14ac:dyDescent="0.35">
      <c r="A50" t="s">
        <v>151</v>
      </c>
      <c r="B50" t="s">
        <v>152</v>
      </c>
      <c r="C50" t="s">
        <v>153</v>
      </c>
      <c r="D50" s="1">
        <v>0.38</v>
      </c>
    </row>
    <row r="51" spans="1:6" x14ac:dyDescent="0.35">
      <c r="A51" t="s">
        <v>154</v>
      </c>
      <c r="B51" t="s">
        <v>155</v>
      </c>
      <c r="C51" t="s">
        <v>156</v>
      </c>
      <c r="D51" s="1">
        <v>0.61</v>
      </c>
    </row>
    <row r="52" spans="1:6" x14ac:dyDescent="0.35">
      <c r="A52" t="s">
        <v>157</v>
      </c>
      <c r="B52" t="s">
        <v>158</v>
      </c>
      <c r="C52" t="s">
        <v>159</v>
      </c>
      <c r="D52" s="1">
        <v>0.5</v>
      </c>
    </row>
    <row r="53" spans="1:6" x14ac:dyDescent="0.35">
      <c r="A53" t="s">
        <v>160</v>
      </c>
      <c r="B53" t="s">
        <v>161</v>
      </c>
      <c r="C53" t="s">
        <v>162</v>
      </c>
      <c r="D53" s="1">
        <v>0.02</v>
      </c>
    </row>
    <row r="54" spans="1:6" x14ac:dyDescent="0.35">
      <c r="A54" t="s">
        <v>163</v>
      </c>
      <c r="B54" t="s">
        <v>158</v>
      </c>
      <c r="C54" t="s">
        <v>164</v>
      </c>
      <c r="D54" s="1">
        <v>0.22</v>
      </c>
    </row>
    <row r="55" spans="1:6" x14ac:dyDescent="0.35">
      <c r="A55" t="s">
        <v>165</v>
      </c>
      <c r="B55" t="s">
        <v>166</v>
      </c>
      <c r="C55" t="s">
        <v>167</v>
      </c>
      <c r="D55" s="1">
        <v>0.03</v>
      </c>
    </row>
    <row r="56" spans="1:6" x14ac:dyDescent="0.35">
      <c r="A56" t="s">
        <v>168</v>
      </c>
      <c r="B56" t="s">
        <v>43</v>
      </c>
      <c r="C56" t="s">
        <v>169</v>
      </c>
      <c r="D56" s="1">
        <v>0.41</v>
      </c>
    </row>
    <row r="57" spans="1:6" x14ac:dyDescent="0.35">
      <c r="A57" t="s">
        <v>170</v>
      </c>
      <c r="B57" t="s">
        <v>171</v>
      </c>
      <c r="C57" t="s">
        <v>172</v>
      </c>
      <c r="D57" s="1">
        <v>0.45</v>
      </c>
    </row>
    <row r="58" spans="1:6" x14ac:dyDescent="0.35">
      <c r="A58" t="s">
        <v>173</v>
      </c>
      <c r="B58" t="s">
        <v>174</v>
      </c>
      <c r="C58" t="s">
        <v>169</v>
      </c>
      <c r="D58" s="1">
        <v>0.48</v>
      </c>
    </row>
    <row r="59" spans="1:6" x14ac:dyDescent="0.35">
      <c r="A59" t="s">
        <v>175</v>
      </c>
      <c r="B59" t="s">
        <v>43</v>
      </c>
      <c r="C59" t="s">
        <v>176</v>
      </c>
      <c r="D59" s="1">
        <v>0.49</v>
      </c>
    </row>
    <row r="60" spans="1:6" x14ac:dyDescent="0.35">
      <c r="A60" t="s">
        <v>177</v>
      </c>
      <c r="B60" t="s">
        <v>178</v>
      </c>
      <c r="C60" t="s">
        <v>179</v>
      </c>
      <c r="D60" s="1">
        <v>0.27</v>
      </c>
    </row>
    <row r="61" spans="1:6" x14ac:dyDescent="0.35">
      <c r="A61" t="s">
        <v>170</v>
      </c>
      <c r="B61" t="s">
        <v>180</v>
      </c>
      <c r="C61" t="s">
        <v>181</v>
      </c>
      <c r="D61" s="1">
        <v>0.55000000000000004</v>
      </c>
    </row>
    <row r="62" spans="1:6" x14ac:dyDescent="0.35">
      <c r="A62" t="s">
        <v>182</v>
      </c>
      <c r="B62" t="s">
        <v>183</v>
      </c>
      <c r="C62" t="s">
        <v>184</v>
      </c>
      <c r="D62" s="1">
        <v>0.13</v>
      </c>
      <c r="E62">
        <v>-6</v>
      </c>
      <c r="F62" t="s">
        <v>185</v>
      </c>
    </row>
    <row r="63" spans="1:6" x14ac:dyDescent="0.35">
      <c r="A63" t="s">
        <v>186</v>
      </c>
      <c r="B63" t="s">
        <v>187</v>
      </c>
      <c r="C63" t="s">
        <v>188</v>
      </c>
      <c r="D63" s="1">
        <v>0.54</v>
      </c>
      <c r="E63">
        <v>-10</v>
      </c>
      <c r="F63" t="s">
        <v>189</v>
      </c>
    </row>
    <row r="64" spans="1:6" x14ac:dyDescent="0.35">
      <c r="A64" t="s">
        <v>190</v>
      </c>
      <c r="B64" t="s">
        <v>191</v>
      </c>
      <c r="C64" t="s">
        <v>192</v>
      </c>
      <c r="D64" s="1">
        <v>0.55000000000000004</v>
      </c>
      <c r="E64">
        <v>-13</v>
      </c>
      <c r="F64" t="s">
        <v>193</v>
      </c>
    </row>
    <row r="65" spans="1:6" x14ac:dyDescent="0.35">
      <c r="A65" t="s">
        <v>194</v>
      </c>
      <c r="B65" t="s">
        <v>195</v>
      </c>
      <c r="C65" t="s">
        <v>196</v>
      </c>
      <c r="D65" s="1">
        <v>0.49</v>
      </c>
      <c r="E65">
        <v>-69</v>
      </c>
      <c r="F65" t="s">
        <v>197</v>
      </c>
    </row>
    <row r="66" spans="1:6" x14ac:dyDescent="0.35">
      <c r="A66" t="s">
        <v>198</v>
      </c>
      <c r="B66" t="s">
        <v>199</v>
      </c>
      <c r="C66" t="s">
        <v>200</v>
      </c>
      <c r="D66" s="1">
        <v>0.52</v>
      </c>
      <c r="E66">
        <v>-15</v>
      </c>
      <c r="F66" t="s">
        <v>201</v>
      </c>
    </row>
    <row r="67" spans="1:6" x14ac:dyDescent="0.35">
      <c r="A67" t="s">
        <v>202</v>
      </c>
      <c r="B67" t="s">
        <v>203</v>
      </c>
      <c r="C67" t="s">
        <v>204</v>
      </c>
      <c r="D67" s="1">
        <v>0.22</v>
      </c>
      <c r="E67">
        <v>-16</v>
      </c>
      <c r="F67" t="s">
        <v>205</v>
      </c>
    </row>
    <row r="68" spans="1:6" x14ac:dyDescent="0.35">
      <c r="A68" t="s">
        <v>206</v>
      </c>
      <c r="B68" t="s">
        <v>45</v>
      </c>
      <c r="C68" t="s">
        <v>207</v>
      </c>
      <c r="D68" s="1">
        <v>0.45</v>
      </c>
      <c r="E68">
        <v>-6</v>
      </c>
      <c r="F68" t="s">
        <v>208</v>
      </c>
    </row>
    <row r="69" spans="1:6" x14ac:dyDescent="0.35">
      <c r="A69" t="s">
        <v>209</v>
      </c>
      <c r="B69" t="s">
        <v>210</v>
      </c>
      <c r="C69" t="s">
        <v>144</v>
      </c>
      <c r="D69" s="1">
        <v>0.5</v>
      </c>
      <c r="E69">
        <v>-7</v>
      </c>
      <c r="F69" t="s">
        <v>211</v>
      </c>
    </row>
    <row r="70" spans="1:6" x14ac:dyDescent="0.35">
      <c r="A70" t="s">
        <v>212</v>
      </c>
      <c r="B70" t="s">
        <v>213</v>
      </c>
      <c r="C70" t="s">
        <v>214</v>
      </c>
      <c r="D70" s="1">
        <v>0.39</v>
      </c>
      <c r="E70">
        <v>-5</v>
      </c>
      <c r="F70" t="s">
        <v>189</v>
      </c>
    </row>
    <row r="71" spans="1:6" x14ac:dyDescent="0.35">
      <c r="A71" t="s">
        <v>215</v>
      </c>
      <c r="B71" t="s">
        <v>104</v>
      </c>
      <c r="C71" t="s">
        <v>216</v>
      </c>
      <c r="D71" s="1">
        <v>0.45</v>
      </c>
      <c r="E71">
        <v>-17</v>
      </c>
      <c r="F71" t="s">
        <v>217</v>
      </c>
    </row>
    <row r="72" spans="1:6" x14ac:dyDescent="0.35">
      <c r="A72" t="s">
        <v>218</v>
      </c>
      <c r="B72" t="s">
        <v>219</v>
      </c>
      <c r="C72" t="s">
        <v>220</v>
      </c>
      <c r="D72" s="1">
        <v>0.28999999999999998</v>
      </c>
      <c r="E72">
        <v>-5</v>
      </c>
      <c r="F72" t="s">
        <v>189</v>
      </c>
    </row>
    <row r="73" spans="1:6" x14ac:dyDescent="0.35">
      <c r="A73" t="s">
        <v>221</v>
      </c>
      <c r="B73" t="s">
        <v>222</v>
      </c>
      <c r="C73" t="s">
        <v>223</v>
      </c>
      <c r="D73" s="1">
        <v>0.43</v>
      </c>
      <c r="E73">
        <v>-6</v>
      </c>
      <c r="F73" t="s">
        <v>211</v>
      </c>
    </row>
    <row r="74" spans="1:6" x14ac:dyDescent="0.35">
      <c r="A74" t="s">
        <v>224</v>
      </c>
      <c r="B74" t="s">
        <v>225</v>
      </c>
      <c r="C74" t="s">
        <v>226</v>
      </c>
      <c r="D74" s="1">
        <v>0.43</v>
      </c>
      <c r="E74">
        <v>-5</v>
      </c>
      <c r="F74" t="s">
        <v>189</v>
      </c>
    </row>
    <row r="75" spans="1:6" x14ac:dyDescent="0.35">
      <c r="A75" t="s">
        <v>227</v>
      </c>
      <c r="B75" t="s">
        <v>228</v>
      </c>
      <c r="C75" t="s">
        <v>207</v>
      </c>
      <c r="D75" s="1">
        <v>0.47</v>
      </c>
      <c r="E75">
        <v>-6</v>
      </c>
      <c r="F75" t="s">
        <v>208</v>
      </c>
    </row>
    <row r="76" spans="1:6" x14ac:dyDescent="0.35">
      <c r="A76" t="s">
        <v>229</v>
      </c>
      <c r="B76" t="s">
        <v>230</v>
      </c>
      <c r="C76" t="s">
        <v>231</v>
      </c>
      <c r="D76" s="1">
        <v>0.47</v>
      </c>
      <c r="E76">
        <v>-7</v>
      </c>
      <c r="F76" t="s">
        <v>193</v>
      </c>
    </row>
    <row r="77" spans="1:6" x14ac:dyDescent="0.35">
      <c r="A77" t="s">
        <v>232</v>
      </c>
      <c r="B77" t="s">
        <v>233</v>
      </c>
      <c r="C77" t="s">
        <v>234</v>
      </c>
      <c r="D77" s="1">
        <v>0.47</v>
      </c>
    </row>
    <row r="78" spans="1:6" x14ac:dyDescent="0.35">
      <c r="A78" t="s">
        <v>235</v>
      </c>
      <c r="B78" t="s">
        <v>236</v>
      </c>
      <c r="C78" t="s">
        <v>152</v>
      </c>
      <c r="D78" s="1">
        <v>0.43</v>
      </c>
    </row>
    <row r="79" spans="1:6" x14ac:dyDescent="0.35">
      <c r="A79" t="s">
        <v>237</v>
      </c>
      <c r="B79" t="s">
        <v>238</v>
      </c>
      <c r="C79" t="s">
        <v>239</v>
      </c>
      <c r="D79" s="1">
        <v>0.04</v>
      </c>
    </row>
    <row r="80" spans="1:6" x14ac:dyDescent="0.35">
      <c r="A80" t="s">
        <v>240</v>
      </c>
      <c r="B80" t="s">
        <v>241</v>
      </c>
      <c r="C80" t="s">
        <v>242</v>
      </c>
      <c r="D80" s="1">
        <v>0.49</v>
      </c>
    </row>
    <row r="81" spans="1:6" x14ac:dyDescent="0.35">
      <c r="A81" t="s">
        <v>243</v>
      </c>
      <c r="B81" t="s">
        <v>244</v>
      </c>
      <c r="C81" t="s">
        <v>15</v>
      </c>
      <c r="D81" s="1">
        <v>0.46</v>
      </c>
      <c r="E81">
        <v>-1</v>
      </c>
      <c r="F81" t="s">
        <v>189</v>
      </c>
    </row>
    <row r="82" spans="1:6" x14ac:dyDescent="0.35">
      <c r="A82" t="s">
        <v>245</v>
      </c>
      <c r="B82" t="s">
        <v>246</v>
      </c>
      <c r="C82" t="s">
        <v>247</v>
      </c>
      <c r="D82" s="1">
        <v>0.49</v>
      </c>
      <c r="E82">
        <v>-1</v>
      </c>
      <c r="F82" t="s">
        <v>59</v>
      </c>
    </row>
    <row r="83" spans="1:6" x14ac:dyDescent="0.35">
      <c r="A83" t="s">
        <v>248</v>
      </c>
      <c r="B83" t="s">
        <v>249</v>
      </c>
      <c r="C83" t="s">
        <v>250</v>
      </c>
      <c r="D83" s="1">
        <v>0.36</v>
      </c>
    </row>
    <row r="84" spans="1:6" x14ac:dyDescent="0.35">
      <c r="A84" t="s">
        <v>251</v>
      </c>
      <c r="B84" t="s">
        <v>252</v>
      </c>
      <c r="C84" t="s">
        <v>162</v>
      </c>
      <c r="D84" s="1">
        <v>0.02</v>
      </c>
    </row>
    <row r="85" spans="1:6" x14ac:dyDescent="0.35">
      <c r="A85" t="s">
        <v>253</v>
      </c>
      <c r="B85" t="s">
        <v>254</v>
      </c>
      <c r="C85" t="s">
        <v>91</v>
      </c>
      <c r="D85" s="1">
        <v>0.49</v>
      </c>
      <c r="E85">
        <v>-1</v>
      </c>
      <c r="F85" t="s">
        <v>29</v>
      </c>
    </row>
    <row r="86" spans="1:6" x14ac:dyDescent="0.35">
      <c r="A86" t="s">
        <v>137</v>
      </c>
      <c r="B86" t="s">
        <v>138</v>
      </c>
      <c r="C86" t="s">
        <v>139</v>
      </c>
      <c r="D86" s="1">
        <v>0.42</v>
      </c>
    </row>
    <row r="87" spans="1:6" x14ac:dyDescent="0.35">
      <c r="A87" t="s">
        <v>154</v>
      </c>
      <c r="B87" t="s">
        <v>255</v>
      </c>
      <c r="C87" t="s">
        <v>222</v>
      </c>
      <c r="D87" s="1">
        <v>0.49</v>
      </c>
    </row>
    <row r="88" spans="1:6" x14ac:dyDescent="0.35">
      <c r="A88" t="s">
        <v>256</v>
      </c>
      <c r="B88" t="s">
        <v>257</v>
      </c>
      <c r="C88" t="s">
        <v>162</v>
      </c>
      <c r="D88" s="1">
        <v>0.14000000000000001</v>
      </c>
    </row>
    <row r="89" spans="1:6" x14ac:dyDescent="0.35">
      <c r="A89" t="s">
        <v>258</v>
      </c>
      <c r="B89" t="s">
        <v>259</v>
      </c>
      <c r="C89" t="s">
        <v>260</v>
      </c>
      <c r="D89" s="1">
        <v>0.49</v>
      </c>
    </row>
    <row r="90" spans="1:6" x14ac:dyDescent="0.35">
      <c r="A90" t="s">
        <v>261</v>
      </c>
      <c r="B90" t="s">
        <v>43</v>
      </c>
      <c r="C90" t="s">
        <v>172</v>
      </c>
      <c r="D90" s="1">
        <v>0.11</v>
      </c>
    </row>
    <row r="91" spans="1:6" x14ac:dyDescent="0.35">
      <c r="A91" t="s">
        <v>175</v>
      </c>
      <c r="B91" t="s">
        <v>262</v>
      </c>
      <c r="C91" t="s">
        <v>263</v>
      </c>
      <c r="D91" s="1">
        <v>0.49</v>
      </c>
    </row>
    <row r="92" spans="1:6" x14ac:dyDescent="0.35">
      <c r="A92" t="s">
        <v>264</v>
      </c>
      <c r="B92" t="s">
        <v>265</v>
      </c>
      <c r="C92" t="s">
        <v>162</v>
      </c>
      <c r="D92" s="1">
        <v>0.14000000000000001</v>
      </c>
    </row>
    <row r="93" spans="1:6" x14ac:dyDescent="0.35">
      <c r="A93" t="s">
        <v>266</v>
      </c>
      <c r="B93" t="s">
        <v>267</v>
      </c>
      <c r="C93" t="s">
        <v>268</v>
      </c>
      <c r="D93" s="1">
        <v>0.43</v>
      </c>
    </row>
    <row r="94" spans="1:6" x14ac:dyDescent="0.35">
      <c r="A94" t="s">
        <v>269</v>
      </c>
      <c r="B94" t="s">
        <v>270</v>
      </c>
      <c r="C94" t="s">
        <v>271</v>
      </c>
      <c r="D94" s="1">
        <v>0.5</v>
      </c>
    </row>
    <row r="95" spans="1:6" x14ac:dyDescent="0.35">
      <c r="A95" t="s">
        <v>272</v>
      </c>
      <c r="B95" t="s">
        <v>273</v>
      </c>
      <c r="C95" t="s">
        <v>184</v>
      </c>
      <c r="D95" s="1">
        <v>0.48</v>
      </c>
    </row>
    <row r="96" spans="1:6" x14ac:dyDescent="0.35">
      <c r="A96" t="s">
        <v>274</v>
      </c>
      <c r="B96" t="s">
        <v>275</v>
      </c>
      <c r="C96" t="s">
        <v>276</v>
      </c>
      <c r="D96" s="1">
        <v>0.48</v>
      </c>
    </row>
    <row r="97" spans="1:6" x14ac:dyDescent="0.35">
      <c r="A97" t="s">
        <v>277</v>
      </c>
      <c r="B97" t="s">
        <v>226</v>
      </c>
      <c r="C97" t="s">
        <v>162</v>
      </c>
      <c r="D97" s="1">
        <v>0.47</v>
      </c>
    </row>
    <row r="98" spans="1:6" x14ac:dyDescent="0.35">
      <c r="A98" t="s">
        <v>277</v>
      </c>
      <c r="B98" t="s">
        <v>226</v>
      </c>
      <c r="C98" t="s">
        <v>162</v>
      </c>
      <c r="D98" s="1">
        <v>0.47</v>
      </c>
    </row>
    <row r="99" spans="1:6" x14ac:dyDescent="0.35">
      <c r="A99" t="s">
        <v>278</v>
      </c>
      <c r="B99" t="s">
        <v>152</v>
      </c>
      <c r="C99" t="s">
        <v>279</v>
      </c>
      <c r="D99" s="1">
        <v>0.5</v>
      </c>
    </row>
    <row r="100" spans="1:6" x14ac:dyDescent="0.35">
      <c r="A100" t="s">
        <v>280</v>
      </c>
      <c r="B100" t="s">
        <v>281</v>
      </c>
      <c r="C100" t="s">
        <v>161</v>
      </c>
      <c r="D100" s="1">
        <v>0.08</v>
      </c>
    </row>
    <row r="101" spans="1:6" x14ac:dyDescent="0.35">
      <c r="A101" t="s">
        <v>282</v>
      </c>
      <c r="B101" t="s">
        <v>283</v>
      </c>
      <c r="C101" t="s">
        <v>167</v>
      </c>
      <c r="D101" s="1">
        <v>0.02</v>
      </c>
    </row>
    <row r="102" spans="1:6" x14ac:dyDescent="0.35">
      <c r="A102" t="s">
        <v>284</v>
      </c>
      <c r="B102" t="s">
        <v>285</v>
      </c>
      <c r="C102" t="s">
        <v>286</v>
      </c>
      <c r="D102" s="1">
        <v>0.49</v>
      </c>
    </row>
    <row r="103" spans="1:6" x14ac:dyDescent="0.35">
      <c r="A103" t="s">
        <v>287</v>
      </c>
      <c r="B103" t="s">
        <v>288</v>
      </c>
      <c r="C103" t="s">
        <v>67</v>
      </c>
      <c r="D103" s="1">
        <v>0.04</v>
      </c>
    </row>
    <row r="104" spans="1:6" x14ac:dyDescent="0.35">
      <c r="A104" t="s">
        <v>289</v>
      </c>
      <c r="B104" t="s">
        <v>290</v>
      </c>
      <c r="C104" t="s">
        <v>291</v>
      </c>
      <c r="D104" s="1">
        <v>0.49</v>
      </c>
    </row>
    <row r="105" spans="1:6" x14ac:dyDescent="0.35">
      <c r="A105" t="s">
        <v>292</v>
      </c>
      <c r="B105" t="s">
        <v>293</v>
      </c>
      <c r="C105" t="s">
        <v>294</v>
      </c>
      <c r="D105" s="1">
        <v>0.42</v>
      </c>
    </row>
    <row r="106" spans="1:6" x14ac:dyDescent="0.35">
      <c r="A106" t="s">
        <v>295</v>
      </c>
      <c r="B106" t="s">
        <v>296</v>
      </c>
      <c r="C106" t="s">
        <v>297</v>
      </c>
      <c r="D106" s="1">
        <v>0.21</v>
      </c>
      <c r="E106">
        <v>-1</v>
      </c>
      <c r="F106" t="s">
        <v>59</v>
      </c>
    </row>
    <row r="107" spans="1:6" x14ac:dyDescent="0.35">
      <c r="A107" t="s">
        <v>298</v>
      </c>
      <c r="B107" t="s">
        <v>299</v>
      </c>
      <c r="C107" t="s">
        <v>300</v>
      </c>
      <c r="D107" s="1">
        <v>0.41</v>
      </c>
    </row>
    <row r="108" spans="1:6" x14ac:dyDescent="0.35">
      <c r="A108" t="s">
        <v>301</v>
      </c>
      <c r="B108" t="s">
        <v>302</v>
      </c>
      <c r="C108" t="s">
        <v>303</v>
      </c>
      <c r="D108" s="1">
        <v>0.01</v>
      </c>
    </row>
    <row r="109" spans="1:6" x14ac:dyDescent="0.35">
      <c r="A109" t="s">
        <v>304</v>
      </c>
      <c r="B109" t="s">
        <v>305</v>
      </c>
      <c r="C109" t="s">
        <v>306</v>
      </c>
      <c r="D109" s="1">
        <v>0.24</v>
      </c>
    </row>
    <row r="110" spans="1:6" x14ac:dyDescent="0.35">
      <c r="A110" t="s">
        <v>307</v>
      </c>
      <c r="B110" t="s">
        <v>308</v>
      </c>
      <c r="C110" t="s">
        <v>309</v>
      </c>
      <c r="D110" s="1">
        <v>0.34</v>
      </c>
    </row>
    <row r="111" spans="1:6" x14ac:dyDescent="0.35">
      <c r="A111" t="s">
        <v>310</v>
      </c>
      <c r="B111" t="s">
        <v>146</v>
      </c>
      <c r="C111" t="s">
        <v>311</v>
      </c>
      <c r="D111" s="1">
        <v>0.34</v>
      </c>
    </row>
    <row r="112" spans="1:6" x14ac:dyDescent="0.35">
      <c r="A112" t="s">
        <v>312</v>
      </c>
      <c r="B112" t="s">
        <v>313</v>
      </c>
      <c r="C112" t="s">
        <v>162</v>
      </c>
      <c r="D112" s="1">
        <v>0.02</v>
      </c>
    </row>
    <row r="113" spans="1:6" x14ac:dyDescent="0.35">
      <c r="A113" t="s">
        <v>314</v>
      </c>
      <c r="B113" t="s">
        <v>315</v>
      </c>
      <c r="C113" t="s">
        <v>239</v>
      </c>
      <c r="D113" s="1">
        <v>0.02</v>
      </c>
    </row>
    <row r="114" spans="1:6" x14ac:dyDescent="0.35">
      <c r="A114" t="s">
        <v>316</v>
      </c>
      <c r="B114" t="s">
        <v>155</v>
      </c>
      <c r="C114" t="s">
        <v>317</v>
      </c>
      <c r="D114" s="1">
        <v>0.64</v>
      </c>
    </row>
    <row r="115" spans="1:6" x14ac:dyDescent="0.35">
      <c r="A115" t="s">
        <v>318</v>
      </c>
      <c r="B115" t="s">
        <v>242</v>
      </c>
      <c r="C115" t="s">
        <v>172</v>
      </c>
      <c r="D115" s="1">
        <v>0.5</v>
      </c>
      <c r="E115">
        <v>-1</v>
      </c>
      <c r="F115" t="s">
        <v>319</v>
      </c>
    </row>
    <row r="116" spans="1:6" x14ac:dyDescent="0.35">
      <c r="A116" t="s">
        <v>320</v>
      </c>
      <c r="B116" t="s">
        <v>321</v>
      </c>
      <c r="C116" t="s">
        <v>322</v>
      </c>
      <c r="D116" s="1">
        <v>0.47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D85AA-FF78-4F21-85DB-8E9CD856E758}">
  <dimension ref="A1:I110"/>
  <sheetViews>
    <sheetView workbookViewId="0">
      <selection activeCell="I1" sqref="I1"/>
    </sheetView>
  </sheetViews>
  <sheetFormatPr defaultRowHeight="14.5" x14ac:dyDescent="0.35"/>
  <cols>
    <col min="1" max="1" width="64.1796875" customWidth="1"/>
    <col min="2" max="2" width="7.453125" style="4" bestFit="1" customWidth="1"/>
    <col min="3" max="3" width="18.1796875" style="4" customWidth="1"/>
    <col min="4" max="4" width="15.453125" bestFit="1" customWidth="1"/>
    <col min="5" max="5" width="10.453125" bestFit="1" customWidth="1"/>
    <col min="7" max="7" width="11" style="4" bestFit="1" customWidth="1"/>
  </cols>
  <sheetData>
    <row r="1" spans="1:9" x14ac:dyDescent="0.35">
      <c r="A1" s="2" t="s">
        <v>0</v>
      </c>
      <c r="B1" t="s">
        <v>1</v>
      </c>
      <c r="C1" t="s">
        <v>2</v>
      </c>
      <c r="D1" s="2" t="s">
        <v>323</v>
      </c>
      <c r="E1" s="2" t="s">
        <v>334</v>
      </c>
      <c r="F1" s="2" t="s">
        <v>344</v>
      </c>
      <c r="G1" s="3" t="s">
        <v>345</v>
      </c>
      <c r="H1" s="2" t="s">
        <v>324</v>
      </c>
      <c r="I1" s="2" t="s">
        <v>325</v>
      </c>
    </row>
    <row r="2" spans="1:9" x14ac:dyDescent="0.35">
      <c r="A2" t="s">
        <v>117</v>
      </c>
      <c r="B2" s="4">
        <v>1620</v>
      </c>
      <c r="C2" s="4">
        <v>2690</v>
      </c>
      <c r="D2" s="4">
        <f>C2-B2</f>
        <v>1070</v>
      </c>
      <c r="E2" s="1">
        <v>0.4</v>
      </c>
      <c r="F2">
        <v>1</v>
      </c>
      <c r="G2" s="4">
        <v>5</v>
      </c>
      <c r="H2" t="str">
        <f>IF(F2&lt;3,"poor",IF(F2&lt;=4.4,"Average",IF(F2&gt;=4.5,"Excellent")))</f>
        <v>poor</v>
      </c>
      <c r="I2" t="str">
        <f>IF(E2&lt;20%,"Low Discount",IF(E2&lt;=40%,"Medium Discount",IF(E2&gt;40%,"High Discount")))</f>
        <v>Medium Discount</v>
      </c>
    </row>
    <row r="3" spans="1:9" x14ac:dyDescent="0.35">
      <c r="A3" t="s">
        <v>243</v>
      </c>
      <c r="B3" s="4">
        <v>1189</v>
      </c>
      <c r="C3" s="4">
        <v>2199</v>
      </c>
      <c r="D3" s="4">
        <f t="shared" ref="D3:D66" si="0">C3-B3</f>
        <v>1010</v>
      </c>
      <c r="E3" s="1">
        <v>0.46</v>
      </c>
      <c r="F3">
        <v>1</v>
      </c>
      <c r="G3" s="4">
        <v>3</v>
      </c>
      <c r="H3" t="str">
        <f t="shared" ref="H3:H66" si="1">IF(F3&lt;3,"poor",IF(F3&lt;=4.4,"Average",IF(F3&gt;=4.5,"Excellent")))</f>
        <v>poor</v>
      </c>
      <c r="I3" t="str">
        <f t="shared" ref="I3:I66" si="2">IF(E3&lt;20%,"Low Discount",IF(E3&lt;=40%,"Medium Discount",IF(E3&gt;40%,"High Discount")))</f>
        <v>High Discount</v>
      </c>
    </row>
    <row r="4" spans="1:9" x14ac:dyDescent="0.35">
      <c r="A4" t="s">
        <v>245</v>
      </c>
      <c r="B4" s="4">
        <v>979</v>
      </c>
      <c r="C4" s="4">
        <v>1920</v>
      </c>
      <c r="D4" s="4">
        <f t="shared" si="0"/>
        <v>941</v>
      </c>
      <c r="E4" s="1">
        <v>0.49</v>
      </c>
      <c r="F4">
        <v>1</v>
      </c>
      <c r="G4" s="4">
        <v>5</v>
      </c>
      <c r="H4" t="str">
        <f t="shared" si="1"/>
        <v>poor</v>
      </c>
      <c r="I4" t="str">
        <f t="shared" si="2"/>
        <v>High Discount</v>
      </c>
    </row>
    <row r="5" spans="1:9" x14ac:dyDescent="0.35">
      <c r="A5" t="s">
        <v>253</v>
      </c>
      <c r="B5" s="4">
        <v>330</v>
      </c>
      <c r="C5" s="4">
        <v>647</v>
      </c>
      <c r="D5" s="4">
        <f t="shared" si="0"/>
        <v>317</v>
      </c>
      <c r="E5" s="1">
        <v>0.49</v>
      </c>
      <c r="F5">
        <v>1</v>
      </c>
      <c r="G5" s="4">
        <v>4</v>
      </c>
      <c r="H5" t="str">
        <f t="shared" si="1"/>
        <v>poor</v>
      </c>
      <c r="I5" t="str">
        <f t="shared" si="2"/>
        <v>High Discount</v>
      </c>
    </row>
    <row r="6" spans="1:9" x14ac:dyDescent="0.35">
      <c r="A6" t="s">
        <v>295</v>
      </c>
      <c r="B6" s="4">
        <v>3640</v>
      </c>
      <c r="C6" s="4">
        <v>4588</v>
      </c>
      <c r="D6" s="4">
        <f t="shared" si="0"/>
        <v>948</v>
      </c>
      <c r="E6" s="1">
        <v>0.21</v>
      </c>
      <c r="F6">
        <v>1</v>
      </c>
      <c r="G6" s="4">
        <v>5</v>
      </c>
      <c r="H6" t="str">
        <f t="shared" si="1"/>
        <v>poor</v>
      </c>
      <c r="I6" t="str">
        <f t="shared" si="2"/>
        <v>Medium Discount</v>
      </c>
    </row>
    <row r="7" spans="1:9" x14ac:dyDescent="0.35">
      <c r="A7" t="s">
        <v>318</v>
      </c>
      <c r="B7" s="4">
        <v>450</v>
      </c>
      <c r="C7" s="4">
        <v>900</v>
      </c>
      <c r="D7" s="4">
        <f t="shared" si="0"/>
        <v>450</v>
      </c>
      <c r="E7" s="1">
        <v>0.5</v>
      </c>
      <c r="F7">
        <v>1</v>
      </c>
      <c r="G7" s="4">
        <v>2</v>
      </c>
      <c r="H7" t="str">
        <f t="shared" si="1"/>
        <v>poor</v>
      </c>
      <c r="I7" t="str">
        <f t="shared" si="2"/>
        <v>High Discount</v>
      </c>
    </row>
    <row r="8" spans="1:9" x14ac:dyDescent="0.35">
      <c r="A8" t="s">
        <v>6</v>
      </c>
      <c r="B8" s="4">
        <v>950</v>
      </c>
      <c r="C8" s="4">
        <v>1525</v>
      </c>
      <c r="D8" s="4">
        <f t="shared" si="0"/>
        <v>575</v>
      </c>
      <c r="E8" s="1">
        <v>0.38</v>
      </c>
      <c r="F8">
        <v>2</v>
      </c>
      <c r="G8" s="4">
        <v>4.5</v>
      </c>
      <c r="H8" t="str">
        <f t="shared" si="1"/>
        <v>poor</v>
      </c>
      <c r="I8" t="str">
        <f t="shared" si="2"/>
        <v>Medium Discount</v>
      </c>
    </row>
    <row r="9" spans="1:9" x14ac:dyDescent="0.35">
      <c r="A9" t="s">
        <v>33</v>
      </c>
      <c r="B9" s="4">
        <v>988</v>
      </c>
      <c r="C9" s="4">
        <v>1580</v>
      </c>
      <c r="D9" s="4">
        <f t="shared" si="0"/>
        <v>592</v>
      </c>
      <c r="E9" s="1">
        <v>0.37</v>
      </c>
      <c r="F9">
        <v>2</v>
      </c>
      <c r="G9" s="4">
        <v>4</v>
      </c>
      <c r="H9" t="str">
        <f t="shared" si="1"/>
        <v>poor</v>
      </c>
      <c r="I9" t="str">
        <f t="shared" si="2"/>
        <v>Medium Discount</v>
      </c>
    </row>
    <row r="10" spans="1:9" x14ac:dyDescent="0.35">
      <c r="A10" t="s">
        <v>56</v>
      </c>
      <c r="B10" s="4">
        <v>332</v>
      </c>
      <c r="C10" s="4">
        <v>684</v>
      </c>
      <c r="D10" s="4">
        <f t="shared" si="0"/>
        <v>352</v>
      </c>
      <c r="E10" s="1">
        <v>0.51</v>
      </c>
      <c r="F10">
        <v>2</v>
      </c>
      <c r="G10" s="4">
        <v>5</v>
      </c>
      <c r="H10" t="str">
        <f t="shared" si="1"/>
        <v>poor</v>
      </c>
      <c r="I10" t="str">
        <f t="shared" si="2"/>
        <v>High Discount</v>
      </c>
    </row>
    <row r="11" spans="1:9" x14ac:dyDescent="0.35">
      <c r="A11" t="s">
        <v>60</v>
      </c>
      <c r="B11" s="4">
        <v>195</v>
      </c>
      <c r="C11" s="4">
        <v>360</v>
      </c>
      <c r="D11" s="4">
        <f t="shared" si="0"/>
        <v>165</v>
      </c>
      <c r="E11" s="1">
        <v>0.46</v>
      </c>
      <c r="F11">
        <v>2</v>
      </c>
      <c r="G11" s="4">
        <v>5</v>
      </c>
      <c r="H11" t="str">
        <f t="shared" si="1"/>
        <v>poor</v>
      </c>
      <c r="I11" t="str">
        <f t="shared" si="2"/>
        <v>High Discount</v>
      </c>
    </row>
    <row r="12" spans="1:9" x14ac:dyDescent="0.35">
      <c r="A12" t="s">
        <v>120</v>
      </c>
      <c r="B12" s="4">
        <v>171</v>
      </c>
      <c r="C12" s="4">
        <v>360</v>
      </c>
      <c r="D12" s="4">
        <f>C12-B12</f>
        <v>189</v>
      </c>
      <c r="E12" s="1">
        <v>0.53</v>
      </c>
      <c r="F12">
        <v>2</v>
      </c>
      <c r="G12" s="4">
        <v>5</v>
      </c>
      <c r="H12" t="str">
        <f t="shared" si="1"/>
        <v>poor</v>
      </c>
      <c r="I12" t="str">
        <f t="shared" si="2"/>
        <v>High Discount</v>
      </c>
    </row>
    <row r="13" spans="1:9" x14ac:dyDescent="0.35">
      <c r="A13" t="s">
        <v>125</v>
      </c>
      <c r="B13" s="4">
        <v>1800</v>
      </c>
      <c r="C13" s="4">
        <v>2700</v>
      </c>
      <c r="D13" s="4">
        <f t="shared" si="0"/>
        <v>900</v>
      </c>
      <c r="E13" s="1">
        <v>0.33</v>
      </c>
      <c r="F13">
        <v>2</v>
      </c>
      <c r="G13" s="4">
        <v>4.5</v>
      </c>
      <c r="H13" t="str">
        <f t="shared" si="1"/>
        <v>poor</v>
      </c>
      <c r="I13" t="str">
        <f t="shared" si="2"/>
        <v>Medium Discount</v>
      </c>
    </row>
    <row r="14" spans="1:9" x14ac:dyDescent="0.35">
      <c r="A14" t="s">
        <v>63</v>
      </c>
      <c r="B14" s="4">
        <v>2025</v>
      </c>
      <c r="C14" s="4">
        <v>3971</v>
      </c>
      <c r="D14" s="4">
        <f t="shared" si="0"/>
        <v>1946</v>
      </c>
      <c r="E14" s="1">
        <v>0.49</v>
      </c>
      <c r="F14">
        <v>3</v>
      </c>
      <c r="G14" s="4">
        <v>5</v>
      </c>
      <c r="H14" t="str">
        <f t="shared" si="1"/>
        <v>Average</v>
      </c>
      <c r="I14" t="str">
        <f t="shared" si="2"/>
        <v>High Discount</v>
      </c>
    </row>
    <row r="15" spans="1:9" x14ac:dyDescent="0.35">
      <c r="A15" t="s">
        <v>22</v>
      </c>
      <c r="B15" s="4">
        <v>1740</v>
      </c>
      <c r="C15" s="4">
        <v>2356</v>
      </c>
      <c r="D15" s="4">
        <f t="shared" si="0"/>
        <v>616</v>
      </c>
      <c r="E15" s="1">
        <v>0.26</v>
      </c>
      <c r="F15">
        <v>5</v>
      </c>
      <c r="G15" s="4">
        <v>4.8</v>
      </c>
      <c r="H15" t="str">
        <f t="shared" si="1"/>
        <v>Excellent</v>
      </c>
      <c r="I15" t="str">
        <f t="shared" si="2"/>
        <v>Medium Discount</v>
      </c>
    </row>
    <row r="16" spans="1:9" x14ac:dyDescent="0.35">
      <c r="A16" t="s">
        <v>35</v>
      </c>
      <c r="B16" s="4">
        <v>1274</v>
      </c>
      <c r="C16" s="4">
        <v>2800</v>
      </c>
      <c r="D16" s="4">
        <f t="shared" si="0"/>
        <v>1526</v>
      </c>
      <c r="E16" s="1">
        <v>0.55000000000000004</v>
      </c>
      <c r="F16">
        <v>5</v>
      </c>
      <c r="G16" s="4">
        <v>4.8</v>
      </c>
      <c r="H16" t="str">
        <f t="shared" si="1"/>
        <v>Excellent</v>
      </c>
      <c r="I16" t="str">
        <f t="shared" si="2"/>
        <v>High Discount</v>
      </c>
    </row>
    <row r="17" spans="1:9" x14ac:dyDescent="0.35">
      <c r="A17" t="s">
        <v>38</v>
      </c>
      <c r="B17" s="4">
        <v>1600</v>
      </c>
      <c r="C17" s="4">
        <v>2929</v>
      </c>
      <c r="D17" s="4">
        <f t="shared" si="0"/>
        <v>1329</v>
      </c>
      <c r="E17" s="1">
        <v>0.45</v>
      </c>
      <c r="F17">
        <v>5</v>
      </c>
      <c r="G17" s="4">
        <v>3.8</v>
      </c>
      <c r="H17" t="str">
        <f t="shared" si="1"/>
        <v>Excellent</v>
      </c>
      <c r="I17" t="str">
        <f t="shared" si="2"/>
        <v>High Discount</v>
      </c>
    </row>
    <row r="18" spans="1:9" x14ac:dyDescent="0.35">
      <c r="A18" t="s">
        <v>66</v>
      </c>
      <c r="B18" s="4">
        <v>2999</v>
      </c>
      <c r="C18" s="4">
        <v>3699</v>
      </c>
      <c r="D18" s="4">
        <f t="shared" si="0"/>
        <v>700</v>
      </c>
      <c r="E18" s="1">
        <v>0.19</v>
      </c>
      <c r="F18">
        <v>5</v>
      </c>
      <c r="G18" s="4">
        <v>4.5999999999999996</v>
      </c>
      <c r="H18" t="str">
        <f t="shared" si="1"/>
        <v>Excellent</v>
      </c>
      <c r="I18" t="str">
        <f t="shared" si="2"/>
        <v>Low Discount</v>
      </c>
    </row>
    <row r="19" spans="1:9" x14ac:dyDescent="0.35">
      <c r="A19" t="s">
        <v>212</v>
      </c>
      <c r="B19" s="4">
        <v>3750</v>
      </c>
      <c r="C19" s="4">
        <v>6143</v>
      </c>
      <c r="D19" s="4">
        <f t="shared" si="0"/>
        <v>2393</v>
      </c>
      <c r="E19" s="1">
        <v>0.39</v>
      </c>
      <c r="F19">
        <v>5</v>
      </c>
      <c r="G19" s="4">
        <v>3</v>
      </c>
      <c r="H19" t="str">
        <f t="shared" si="1"/>
        <v>Excellent</v>
      </c>
      <c r="I19" t="str">
        <f t="shared" si="2"/>
        <v>Medium Discount</v>
      </c>
    </row>
    <row r="20" spans="1:9" x14ac:dyDescent="0.35">
      <c r="A20" t="s">
        <v>218</v>
      </c>
      <c r="B20" s="4">
        <v>2300</v>
      </c>
      <c r="C20" s="4">
        <v>3240</v>
      </c>
      <c r="D20" s="4">
        <f t="shared" si="0"/>
        <v>940</v>
      </c>
      <c r="E20" s="1">
        <v>0.28999999999999998</v>
      </c>
      <c r="F20">
        <v>5</v>
      </c>
      <c r="G20" s="4">
        <v>3</v>
      </c>
      <c r="H20" t="str">
        <f t="shared" si="1"/>
        <v>Excellent</v>
      </c>
      <c r="I20" t="str">
        <f t="shared" si="2"/>
        <v>Medium Discount</v>
      </c>
    </row>
    <row r="21" spans="1:9" x14ac:dyDescent="0.35">
      <c r="A21" t="s">
        <v>224</v>
      </c>
      <c r="B21" s="4">
        <v>509</v>
      </c>
      <c r="C21" s="4">
        <v>899</v>
      </c>
      <c r="D21" s="4">
        <f t="shared" si="0"/>
        <v>390</v>
      </c>
      <c r="E21" s="1">
        <v>0.43</v>
      </c>
      <c r="F21">
        <v>5</v>
      </c>
      <c r="G21" s="4">
        <v>3</v>
      </c>
      <c r="H21" t="str">
        <f t="shared" si="1"/>
        <v>Excellent</v>
      </c>
      <c r="I21" t="str">
        <f t="shared" si="2"/>
        <v>High Discount</v>
      </c>
    </row>
    <row r="22" spans="1:9" x14ac:dyDescent="0.35">
      <c r="A22" t="s">
        <v>50</v>
      </c>
      <c r="B22" s="4">
        <v>501</v>
      </c>
      <c r="C22" s="4">
        <v>860</v>
      </c>
      <c r="D22" s="4">
        <f t="shared" si="0"/>
        <v>359</v>
      </c>
      <c r="E22" s="1">
        <v>0.42</v>
      </c>
      <c r="F22">
        <v>6</v>
      </c>
      <c r="G22" s="4">
        <v>4.5</v>
      </c>
      <c r="H22" t="str">
        <f t="shared" si="1"/>
        <v>Excellent</v>
      </c>
      <c r="I22" t="str">
        <f t="shared" si="2"/>
        <v>High Discount</v>
      </c>
    </row>
    <row r="23" spans="1:9" x14ac:dyDescent="0.35">
      <c r="A23" t="s">
        <v>78</v>
      </c>
      <c r="B23" s="4">
        <v>880</v>
      </c>
      <c r="C23" s="4">
        <v>1350</v>
      </c>
      <c r="D23" s="4">
        <f t="shared" si="0"/>
        <v>470</v>
      </c>
      <c r="E23" s="1">
        <v>0.35</v>
      </c>
      <c r="F23">
        <v>6</v>
      </c>
      <c r="G23" s="4">
        <v>4</v>
      </c>
      <c r="H23" t="str">
        <f t="shared" si="1"/>
        <v>Excellent</v>
      </c>
      <c r="I23" t="str">
        <f t="shared" si="2"/>
        <v>Medium Discount</v>
      </c>
    </row>
    <row r="24" spans="1:9" x14ac:dyDescent="0.35">
      <c r="A24" t="s">
        <v>182</v>
      </c>
      <c r="B24" s="4">
        <v>2170</v>
      </c>
      <c r="C24" s="4">
        <v>2500</v>
      </c>
      <c r="D24" s="4">
        <f t="shared" si="0"/>
        <v>330</v>
      </c>
      <c r="E24" s="1">
        <v>0.13</v>
      </c>
      <c r="F24">
        <v>6</v>
      </c>
      <c r="G24" s="4">
        <v>2.5</v>
      </c>
      <c r="H24" t="str">
        <f t="shared" si="1"/>
        <v>Excellent</v>
      </c>
      <c r="I24" t="str">
        <f t="shared" si="2"/>
        <v>Low Discount</v>
      </c>
    </row>
    <row r="25" spans="1:9" x14ac:dyDescent="0.35">
      <c r="A25" t="s">
        <v>206</v>
      </c>
      <c r="B25" s="4">
        <v>990</v>
      </c>
      <c r="C25" s="4">
        <v>1814</v>
      </c>
      <c r="D25" s="4">
        <f t="shared" si="0"/>
        <v>824</v>
      </c>
      <c r="E25" s="1">
        <v>0.45</v>
      </c>
      <c r="F25">
        <v>6</v>
      </c>
      <c r="G25" s="4">
        <v>2.2000000000000002</v>
      </c>
      <c r="H25" t="str">
        <f t="shared" si="1"/>
        <v>Excellent</v>
      </c>
      <c r="I25" t="str">
        <f t="shared" si="2"/>
        <v>High Discount</v>
      </c>
    </row>
    <row r="26" spans="1:9" x14ac:dyDescent="0.35">
      <c r="A26" t="s">
        <v>221</v>
      </c>
      <c r="B26" s="4">
        <v>345</v>
      </c>
      <c r="C26" s="4">
        <v>602</v>
      </c>
      <c r="D26" s="4">
        <f t="shared" si="0"/>
        <v>257</v>
      </c>
      <c r="E26" s="1">
        <v>0.43</v>
      </c>
      <c r="F26">
        <v>6</v>
      </c>
      <c r="G26" s="4">
        <v>2.2999999999999998</v>
      </c>
      <c r="H26" t="str">
        <f t="shared" si="1"/>
        <v>Excellent</v>
      </c>
      <c r="I26" t="str">
        <f t="shared" si="2"/>
        <v>High Discount</v>
      </c>
    </row>
    <row r="27" spans="1:9" x14ac:dyDescent="0.35">
      <c r="A27" t="s">
        <v>227</v>
      </c>
      <c r="B27" s="4">
        <v>968</v>
      </c>
      <c r="C27" s="4">
        <v>1814</v>
      </c>
      <c r="D27" s="4">
        <f t="shared" si="0"/>
        <v>846</v>
      </c>
      <c r="E27" s="1">
        <v>0.47</v>
      </c>
      <c r="F27">
        <v>6</v>
      </c>
      <c r="G27" s="4">
        <v>2.2000000000000002</v>
      </c>
      <c r="H27" t="str">
        <f t="shared" si="1"/>
        <v>Excellent</v>
      </c>
      <c r="I27" t="str">
        <f t="shared" si="2"/>
        <v>High Discount</v>
      </c>
    </row>
    <row r="28" spans="1:9" x14ac:dyDescent="0.35">
      <c r="A28" t="s">
        <v>18</v>
      </c>
      <c r="B28" s="4">
        <v>1580</v>
      </c>
      <c r="C28" s="4">
        <v>2499</v>
      </c>
      <c r="D28" s="4">
        <f t="shared" si="0"/>
        <v>919</v>
      </c>
      <c r="E28" s="1">
        <v>0.37</v>
      </c>
      <c r="F28">
        <v>7</v>
      </c>
      <c r="G28" s="4">
        <v>4.7</v>
      </c>
      <c r="H28" t="str">
        <f t="shared" si="1"/>
        <v>Excellent</v>
      </c>
      <c r="I28" t="str">
        <f t="shared" si="2"/>
        <v>Medium Discount</v>
      </c>
    </row>
    <row r="29" spans="1:9" x14ac:dyDescent="0.35">
      <c r="A29" t="s">
        <v>85</v>
      </c>
      <c r="B29" s="4">
        <v>2048</v>
      </c>
      <c r="C29" s="4">
        <v>4500</v>
      </c>
      <c r="D29" s="4">
        <f t="shared" si="0"/>
        <v>2452</v>
      </c>
      <c r="E29" s="1">
        <v>0.54</v>
      </c>
      <c r="F29">
        <v>7</v>
      </c>
      <c r="G29" s="4">
        <v>4.3</v>
      </c>
      <c r="H29" t="str">
        <f t="shared" si="1"/>
        <v>Excellent</v>
      </c>
      <c r="I29" t="str">
        <f t="shared" si="2"/>
        <v>High Discount</v>
      </c>
    </row>
    <row r="30" spans="1:9" x14ac:dyDescent="0.35">
      <c r="A30" t="s">
        <v>209</v>
      </c>
      <c r="B30" s="4">
        <v>1000</v>
      </c>
      <c r="C30" s="4">
        <v>2000</v>
      </c>
      <c r="D30" s="4">
        <f t="shared" si="0"/>
        <v>1000</v>
      </c>
      <c r="E30" s="1">
        <v>0.5</v>
      </c>
      <c r="F30">
        <v>7</v>
      </c>
      <c r="G30" s="4">
        <v>2.2999999999999998</v>
      </c>
      <c r="H30" t="str">
        <f t="shared" si="1"/>
        <v>Excellent</v>
      </c>
      <c r="I30" t="str">
        <f t="shared" si="2"/>
        <v>High Discount</v>
      </c>
    </row>
    <row r="31" spans="1:9" x14ac:dyDescent="0.35">
      <c r="A31" t="s">
        <v>229</v>
      </c>
      <c r="B31" s="4">
        <v>1570</v>
      </c>
      <c r="C31" s="4">
        <v>2988</v>
      </c>
      <c r="D31" s="4">
        <f t="shared" si="0"/>
        <v>1418</v>
      </c>
      <c r="E31" s="1">
        <v>0.47</v>
      </c>
      <c r="F31">
        <v>7</v>
      </c>
      <c r="G31" s="4">
        <v>2.1</v>
      </c>
      <c r="H31" t="str">
        <f t="shared" si="1"/>
        <v>Excellent</v>
      </c>
      <c r="I31" t="str">
        <f t="shared" si="2"/>
        <v>High Discount</v>
      </c>
    </row>
    <row r="32" spans="1:9" x14ac:dyDescent="0.35">
      <c r="A32" t="s">
        <v>53</v>
      </c>
      <c r="B32" s="4">
        <v>1680</v>
      </c>
      <c r="C32" s="4">
        <v>2499</v>
      </c>
      <c r="D32" s="4">
        <f t="shared" si="0"/>
        <v>819</v>
      </c>
      <c r="E32" s="1">
        <v>0.33</v>
      </c>
      <c r="F32">
        <v>9</v>
      </c>
      <c r="G32" s="4">
        <v>4.2</v>
      </c>
      <c r="H32" t="str">
        <f t="shared" si="1"/>
        <v>Excellent</v>
      </c>
      <c r="I32" t="str">
        <f t="shared" si="2"/>
        <v>Medium Discount</v>
      </c>
    </row>
    <row r="33" spans="1:9" x14ac:dyDescent="0.35">
      <c r="A33" t="s">
        <v>102</v>
      </c>
      <c r="B33" s="4">
        <v>185</v>
      </c>
      <c r="C33" s="4">
        <v>382</v>
      </c>
      <c r="D33" s="4">
        <f t="shared" si="0"/>
        <v>197</v>
      </c>
      <c r="E33" s="1">
        <v>0.52</v>
      </c>
      <c r="F33">
        <v>9</v>
      </c>
      <c r="G33" s="4">
        <v>4.3</v>
      </c>
      <c r="H33" t="str">
        <f t="shared" si="1"/>
        <v>Excellent</v>
      </c>
      <c r="I33" t="str">
        <f t="shared" si="2"/>
        <v>High Discount</v>
      </c>
    </row>
    <row r="34" spans="1:9" x14ac:dyDescent="0.35">
      <c r="A34" t="s">
        <v>108</v>
      </c>
      <c r="B34" s="4">
        <v>1820</v>
      </c>
      <c r="C34" s="4">
        <v>3490</v>
      </c>
      <c r="D34" s="4">
        <f t="shared" si="0"/>
        <v>1670</v>
      </c>
      <c r="E34" s="1">
        <v>0.48</v>
      </c>
      <c r="F34">
        <v>9</v>
      </c>
      <c r="G34" s="4">
        <v>4.3</v>
      </c>
      <c r="H34" t="str">
        <f t="shared" si="1"/>
        <v>Excellent</v>
      </c>
      <c r="I34" t="str">
        <f t="shared" si="2"/>
        <v>High Discount</v>
      </c>
    </row>
    <row r="35" spans="1:9" x14ac:dyDescent="0.35">
      <c r="A35" t="s">
        <v>186</v>
      </c>
      <c r="B35" s="4">
        <v>458</v>
      </c>
      <c r="C35" s="4">
        <v>986</v>
      </c>
      <c r="D35" s="4">
        <f t="shared" si="0"/>
        <v>528</v>
      </c>
      <c r="E35" s="1">
        <v>0.54</v>
      </c>
      <c r="F35">
        <v>10</v>
      </c>
      <c r="G35" s="4">
        <v>3</v>
      </c>
      <c r="H35" t="str">
        <f t="shared" si="1"/>
        <v>Excellent</v>
      </c>
      <c r="I35" t="str">
        <f t="shared" si="2"/>
        <v>High Discount</v>
      </c>
    </row>
    <row r="36" spans="1:9" x14ac:dyDescent="0.35">
      <c r="A36" t="s">
        <v>42</v>
      </c>
      <c r="B36" s="4">
        <v>799</v>
      </c>
      <c r="C36" s="4">
        <v>999</v>
      </c>
      <c r="D36" s="4">
        <f t="shared" si="0"/>
        <v>200</v>
      </c>
      <c r="E36" s="1">
        <v>0.2</v>
      </c>
      <c r="F36">
        <v>12</v>
      </c>
      <c r="G36" s="4">
        <v>4.0999999999999996</v>
      </c>
      <c r="H36" t="str">
        <f t="shared" si="1"/>
        <v>Excellent</v>
      </c>
      <c r="I36" t="str">
        <f t="shared" si="2"/>
        <v>Medium Discount</v>
      </c>
    </row>
    <row r="37" spans="1:9" x14ac:dyDescent="0.35">
      <c r="A37" t="s">
        <v>47</v>
      </c>
      <c r="B37" s="4">
        <v>552</v>
      </c>
      <c r="C37" s="4">
        <v>1035</v>
      </c>
      <c r="D37" s="4">
        <f t="shared" si="0"/>
        <v>483</v>
      </c>
      <c r="E37" s="1">
        <v>0.47</v>
      </c>
      <c r="F37">
        <v>12</v>
      </c>
      <c r="G37" s="4">
        <v>4.8</v>
      </c>
      <c r="H37" t="str">
        <f t="shared" si="1"/>
        <v>Excellent</v>
      </c>
      <c r="I37" t="str">
        <f t="shared" si="2"/>
        <v>High Discount</v>
      </c>
    </row>
    <row r="38" spans="1:9" x14ac:dyDescent="0.35">
      <c r="A38" t="s">
        <v>92</v>
      </c>
      <c r="B38" s="4">
        <v>2880</v>
      </c>
      <c r="C38" s="4">
        <v>3520</v>
      </c>
      <c r="D38" s="4">
        <f t="shared" si="0"/>
        <v>640</v>
      </c>
      <c r="E38" s="1">
        <v>0.18</v>
      </c>
      <c r="F38">
        <v>12</v>
      </c>
      <c r="G38" s="4">
        <v>3.8</v>
      </c>
      <c r="H38" t="str">
        <f t="shared" si="1"/>
        <v>Excellent</v>
      </c>
      <c r="I38" t="str">
        <f t="shared" si="2"/>
        <v>Low Discount</v>
      </c>
    </row>
    <row r="39" spans="1:9" x14ac:dyDescent="0.35">
      <c r="A39" t="s">
        <v>105</v>
      </c>
      <c r="B39" s="4">
        <v>980</v>
      </c>
      <c r="C39" s="4">
        <v>1490</v>
      </c>
      <c r="D39" s="4">
        <f t="shared" si="0"/>
        <v>510</v>
      </c>
      <c r="E39" s="1">
        <v>0.34</v>
      </c>
      <c r="F39">
        <v>12</v>
      </c>
      <c r="G39" s="4">
        <v>4.7</v>
      </c>
      <c r="H39" t="str">
        <f t="shared" si="1"/>
        <v>Excellent</v>
      </c>
      <c r="I39" t="str">
        <f t="shared" si="2"/>
        <v>Medium Discount</v>
      </c>
    </row>
    <row r="40" spans="1:9" x14ac:dyDescent="0.35">
      <c r="A40" t="s">
        <v>71</v>
      </c>
      <c r="B40" s="4">
        <v>38</v>
      </c>
      <c r="C40" s="4">
        <v>80</v>
      </c>
      <c r="D40" s="4">
        <f t="shared" si="0"/>
        <v>42</v>
      </c>
      <c r="E40" s="1">
        <v>0.53</v>
      </c>
      <c r="F40">
        <v>13</v>
      </c>
      <c r="G40" s="4">
        <v>3.3</v>
      </c>
      <c r="H40" t="str">
        <f t="shared" si="1"/>
        <v>Excellent</v>
      </c>
      <c r="I40" t="str">
        <f t="shared" si="2"/>
        <v>High Discount</v>
      </c>
    </row>
    <row r="41" spans="1:9" x14ac:dyDescent="0.35">
      <c r="A41" t="s">
        <v>95</v>
      </c>
      <c r="B41" s="4">
        <v>1350</v>
      </c>
      <c r="C41" s="4">
        <v>1990</v>
      </c>
      <c r="D41" s="4">
        <f t="shared" si="0"/>
        <v>640</v>
      </c>
      <c r="E41" s="1">
        <v>0.32</v>
      </c>
      <c r="F41">
        <v>13</v>
      </c>
      <c r="G41" s="4">
        <v>3.8</v>
      </c>
      <c r="H41" t="str">
        <f t="shared" si="1"/>
        <v>Excellent</v>
      </c>
      <c r="I41" t="str">
        <f t="shared" si="2"/>
        <v>Medium Discount</v>
      </c>
    </row>
    <row r="42" spans="1:9" x14ac:dyDescent="0.35">
      <c r="A42" t="s">
        <v>190</v>
      </c>
      <c r="B42" s="4">
        <v>2115</v>
      </c>
      <c r="C42" s="4">
        <v>4700</v>
      </c>
      <c r="D42" s="4">
        <f t="shared" si="0"/>
        <v>2585</v>
      </c>
      <c r="E42" s="1">
        <v>0.55000000000000004</v>
      </c>
      <c r="F42">
        <v>13</v>
      </c>
      <c r="G42" s="4">
        <v>2.1</v>
      </c>
      <c r="H42" t="str">
        <f t="shared" si="1"/>
        <v>Excellent</v>
      </c>
      <c r="I42" t="str">
        <f t="shared" si="2"/>
        <v>High Discount</v>
      </c>
    </row>
    <row r="43" spans="1:9" x14ac:dyDescent="0.35">
      <c r="A43" t="s">
        <v>10</v>
      </c>
      <c r="B43" s="4">
        <v>527</v>
      </c>
      <c r="C43" s="4">
        <v>999</v>
      </c>
      <c r="D43" s="4">
        <f t="shared" si="0"/>
        <v>472</v>
      </c>
      <c r="E43" s="1">
        <v>0.47</v>
      </c>
      <c r="F43">
        <v>14</v>
      </c>
      <c r="G43" s="4">
        <v>4.0999999999999996</v>
      </c>
      <c r="H43" t="str">
        <f t="shared" si="1"/>
        <v>Excellent</v>
      </c>
      <c r="I43" t="str">
        <f t="shared" si="2"/>
        <v>High Discount</v>
      </c>
    </row>
    <row r="44" spans="1:9" x14ac:dyDescent="0.35">
      <c r="A44" t="s">
        <v>81</v>
      </c>
      <c r="B44" s="4">
        <v>1650</v>
      </c>
      <c r="C44" s="4">
        <v>2150</v>
      </c>
      <c r="D44" s="4">
        <f t="shared" si="0"/>
        <v>500</v>
      </c>
      <c r="E44" s="1">
        <v>0.23</v>
      </c>
      <c r="F44">
        <v>14</v>
      </c>
      <c r="G44" s="4">
        <v>4.4000000000000004</v>
      </c>
      <c r="H44" t="str">
        <f t="shared" si="1"/>
        <v>Excellent</v>
      </c>
      <c r="I44" t="str">
        <f t="shared" si="2"/>
        <v>Medium Discount</v>
      </c>
    </row>
    <row r="45" spans="1:9" x14ac:dyDescent="0.35">
      <c r="A45" t="s">
        <v>26</v>
      </c>
      <c r="B45" s="4">
        <v>2999</v>
      </c>
      <c r="C45" s="4">
        <v>3290</v>
      </c>
      <c r="D45" s="4">
        <f t="shared" si="0"/>
        <v>291</v>
      </c>
      <c r="E45" s="1">
        <v>0.09</v>
      </c>
      <c r="F45">
        <v>15</v>
      </c>
      <c r="G45" s="4">
        <v>4</v>
      </c>
      <c r="H45" t="str">
        <f t="shared" si="1"/>
        <v>Excellent</v>
      </c>
      <c r="I45" t="str">
        <f t="shared" si="2"/>
        <v>Low Discount</v>
      </c>
    </row>
    <row r="46" spans="1:9" x14ac:dyDescent="0.35">
      <c r="A46" t="s">
        <v>198</v>
      </c>
      <c r="B46" s="4">
        <v>325</v>
      </c>
      <c r="C46" s="4">
        <v>680</v>
      </c>
      <c r="D46" s="4">
        <f t="shared" si="0"/>
        <v>355</v>
      </c>
      <c r="E46" s="1">
        <v>0.52</v>
      </c>
      <c r="F46">
        <v>15</v>
      </c>
      <c r="G46" s="4">
        <v>2.7</v>
      </c>
      <c r="H46" t="str">
        <f t="shared" si="1"/>
        <v>Excellent</v>
      </c>
      <c r="I46" t="str">
        <f t="shared" si="2"/>
        <v>High Discount</v>
      </c>
    </row>
    <row r="47" spans="1:9" x14ac:dyDescent="0.35">
      <c r="A47" t="s">
        <v>202</v>
      </c>
      <c r="B47" s="4">
        <v>1220</v>
      </c>
      <c r="C47" s="4">
        <v>1555</v>
      </c>
      <c r="D47" s="4">
        <f t="shared" si="0"/>
        <v>335</v>
      </c>
      <c r="E47" s="1">
        <v>0.22</v>
      </c>
      <c r="F47">
        <v>16</v>
      </c>
      <c r="G47" s="4">
        <v>2.9</v>
      </c>
      <c r="H47" t="str">
        <f t="shared" si="1"/>
        <v>Excellent</v>
      </c>
      <c r="I47" t="str">
        <f t="shared" si="2"/>
        <v>Medium Discount</v>
      </c>
    </row>
    <row r="48" spans="1:9" x14ac:dyDescent="0.35">
      <c r="A48" t="s">
        <v>215</v>
      </c>
      <c r="B48" s="4">
        <v>382</v>
      </c>
      <c r="C48" s="4">
        <v>700</v>
      </c>
      <c r="D48" s="4">
        <f t="shared" si="0"/>
        <v>318</v>
      </c>
      <c r="E48" s="1">
        <v>0.45</v>
      </c>
      <c r="F48">
        <v>17</v>
      </c>
      <c r="G48" s="4">
        <v>2.6</v>
      </c>
      <c r="H48" t="str">
        <f t="shared" si="1"/>
        <v>Excellent</v>
      </c>
      <c r="I48" t="str">
        <f t="shared" si="2"/>
        <v>High Discount</v>
      </c>
    </row>
    <row r="49" spans="1:9" x14ac:dyDescent="0.35">
      <c r="A49" t="s">
        <v>97</v>
      </c>
      <c r="B49" s="4">
        <v>1758</v>
      </c>
      <c r="C49" s="4">
        <v>2499</v>
      </c>
      <c r="D49" s="4">
        <f t="shared" si="0"/>
        <v>741</v>
      </c>
      <c r="E49" s="1">
        <v>0.3</v>
      </c>
      <c r="F49">
        <v>20</v>
      </c>
      <c r="G49" s="4">
        <v>4.0999999999999996</v>
      </c>
      <c r="H49" t="str">
        <f t="shared" si="1"/>
        <v>Excellent</v>
      </c>
      <c r="I49" t="str">
        <f t="shared" si="2"/>
        <v>Medium Discount</v>
      </c>
    </row>
    <row r="50" spans="1:9" x14ac:dyDescent="0.35">
      <c r="A50" t="s">
        <v>111</v>
      </c>
      <c r="B50" s="4">
        <v>1940</v>
      </c>
      <c r="C50" s="4">
        <v>2650</v>
      </c>
      <c r="D50" s="4">
        <f t="shared" si="0"/>
        <v>710</v>
      </c>
      <c r="E50" s="1">
        <v>0.27</v>
      </c>
      <c r="F50">
        <v>20</v>
      </c>
      <c r="G50" s="4">
        <v>4.7</v>
      </c>
      <c r="H50" t="str">
        <f t="shared" si="1"/>
        <v>Excellent</v>
      </c>
      <c r="I50" t="str">
        <f t="shared" si="2"/>
        <v>Medium Discount</v>
      </c>
    </row>
    <row r="51" spans="1:9" x14ac:dyDescent="0.35">
      <c r="A51" t="s">
        <v>14</v>
      </c>
      <c r="B51" s="4">
        <v>2199</v>
      </c>
      <c r="C51" s="4">
        <v>2923</v>
      </c>
      <c r="D51" s="4">
        <f t="shared" si="0"/>
        <v>724</v>
      </c>
      <c r="E51" s="1">
        <v>0.25</v>
      </c>
      <c r="F51">
        <v>24</v>
      </c>
      <c r="G51" s="4">
        <v>4.5999999999999996</v>
      </c>
      <c r="H51" t="str">
        <f t="shared" si="1"/>
        <v>Excellent</v>
      </c>
      <c r="I51" t="str">
        <f t="shared" si="2"/>
        <v>Medium Discount</v>
      </c>
    </row>
    <row r="52" spans="1:9" x14ac:dyDescent="0.35">
      <c r="A52" t="s">
        <v>114</v>
      </c>
      <c r="B52" s="4">
        <v>1980</v>
      </c>
      <c r="C52" s="4">
        <v>2699</v>
      </c>
      <c r="D52" s="4">
        <f t="shared" si="0"/>
        <v>719</v>
      </c>
      <c r="E52" s="1">
        <v>0.27</v>
      </c>
      <c r="F52">
        <v>32</v>
      </c>
      <c r="G52" s="4">
        <v>4.5</v>
      </c>
      <c r="H52" t="str">
        <f t="shared" si="1"/>
        <v>Excellent</v>
      </c>
      <c r="I52" t="str">
        <f t="shared" si="2"/>
        <v>Medium Discount</v>
      </c>
    </row>
    <row r="53" spans="1:9" x14ac:dyDescent="0.35">
      <c r="A53" t="s">
        <v>122</v>
      </c>
      <c r="B53" s="4">
        <v>389</v>
      </c>
      <c r="C53" s="4">
        <v>656</v>
      </c>
      <c r="D53" s="4">
        <f t="shared" si="0"/>
        <v>267</v>
      </c>
      <c r="E53" s="1">
        <v>0.41</v>
      </c>
      <c r="F53">
        <v>36</v>
      </c>
      <c r="G53" s="4">
        <v>4.3</v>
      </c>
      <c r="H53" t="str">
        <f t="shared" si="1"/>
        <v>Excellent</v>
      </c>
      <c r="I53" t="str">
        <f t="shared" si="2"/>
        <v>High Discount</v>
      </c>
    </row>
    <row r="54" spans="1:9" x14ac:dyDescent="0.35">
      <c r="A54" t="s">
        <v>44</v>
      </c>
      <c r="B54" s="4">
        <v>990</v>
      </c>
      <c r="C54" s="4">
        <v>1500</v>
      </c>
      <c r="D54" s="4">
        <f t="shared" si="0"/>
        <v>510</v>
      </c>
      <c r="E54" s="1">
        <v>0.34</v>
      </c>
      <c r="F54">
        <v>39</v>
      </c>
      <c r="G54" s="4">
        <v>4.7</v>
      </c>
      <c r="H54" t="str">
        <f t="shared" si="1"/>
        <v>Excellent</v>
      </c>
      <c r="I54" t="str">
        <f t="shared" si="2"/>
        <v>Medium Discount</v>
      </c>
    </row>
    <row r="55" spans="1:9" x14ac:dyDescent="0.35">
      <c r="A55" t="s">
        <v>68</v>
      </c>
      <c r="B55" s="4">
        <v>998</v>
      </c>
      <c r="C55" s="4">
        <v>1966</v>
      </c>
      <c r="D55" s="4">
        <f t="shared" si="0"/>
        <v>968</v>
      </c>
      <c r="E55" s="1">
        <v>0.49</v>
      </c>
      <c r="F55">
        <v>44</v>
      </c>
      <c r="G55" s="4">
        <v>4.5999999999999996</v>
      </c>
      <c r="H55" t="str">
        <f t="shared" si="1"/>
        <v>Excellent</v>
      </c>
      <c r="I55" t="str">
        <f t="shared" si="2"/>
        <v>High Discount</v>
      </c>
    </row>
    <row r="56" spans="1:9" x14ac:dyDescent="0.35">
      <c r="A56" t="s">
        <v>89</v>
      </c>
      <c r="B56" s="4">
        <v>420</v>
      </c>
      <c r="C56" s="4">
        <v>647</v>
      </c>
      <c r="D56" s="4">
        <f t="shared" si="0"/>
        <v>227</v>
      </c>
      <c r="E56" s="1">
        <v>0.35</v>
      </c>
      <c r="F56">
        <v>49</v>
      </c>
      <c r="G56" s="4">
        <v>4.5999999999999996</v>
      </c>
      <c r="H56" t="str">
        <f t="shared" si="1"/>
        <v>Excellent</v>
      </c>
      <c r="I56" t="str">
        <f t="shared" si="2"/>
        <v>Medium Discount</v>
      </c>
    </row>
    <row r="57" spans="1:9" x14ac:dyDescent="0.35">
      <c r="A57" t="s">
        <v>30</v>
      </c>
      <c r="B57" s="4">
        <v>2319</v>
      </c>
      <c r="C57" s="4">
        <v>3032</v>
      </c>
      <c r="D57" s="4">
        <f t="shared" si="0"/>
        <v>713</v>
      </c>
      <c r="E57" s="1">
        <v>0.24</v>
      </c>
      <c r="F57">
        <v>55</v>
      </c>
      <c r="G57" s="4">
        <v>4.5999999999999996</v>
      </c>
      <c r="H57" t="str">
        <f t="shared" si="1"/>
        <v>Excellent</v>
      </c>
      <c r="I57" t="str">
        <f t="shared" si="2"/>
        <v>Medium Discount</v>
      </c>
    </row>
    <row r="58" spans="1:9" x14ac:dyDescent="0.35">
      <c r="A58" t="s">
        <v>194</v>
      </c>
      <c r="B58" s="4">
        <v>445</v>
      </c>
      <c r="C58" s="4">
        <v>873</v>
      </c>
      <c r="D58" s="4">
        <f t="shared" si="0"/>
        <v>428</v>
      </c>
      <c r="E58" s="1">
        <v>0.49</v>
      </c>
      <c r="F58">
        <v>69</v>
      </c>
      <c r="G58" s="4">
        <v>2.8</v>
      </c>
      <c r="H58" t="str">
        <f t="shared" si="1"/>
        <v>Excellent</v>
      </c>
      <c r="I58" t="str">
        <f t="shared" si="2"/>
        <v>High Discount</v>
      </c>
    </row>
    <row r="59" spans="1:9" x14ac:dyDescent="0.35">
      <c r="A59" t="s">
        <v>75</v>
      </c>
      <c r="B59" s="4">
        <v>1860</v>
      </c>
      <c r="C59" s="4">
        <v>3220</v>
      </c>
      <c r="D59" s="4">
        <f t="shared" si="0"/>
        <v>1360</v>
      </c>
      <c r="E59" s="1">
        <v>0.42</v>
      </c>
      <c r="F59">
        <v>0</v>
      </c>
      <c r="G59">
        <v>0</v>
      </c>
      <c r="H59" t="str">
        <f t="shared" si="1"/>
        <v>poor</v>
      </c>
      <c r="I59" t="str">
        <f t="shared" si="2"/>
        <v>High Discount</v>
      </c>
    </row>
    <row r="60" spans="1:9" x14ac:dyDescent="0.35">
      <c r="A60" t="s">
        <v>99</v>
      </c>
      <c r="B60" s="4">
        <v>2200</v>
      </c>
      <c r="C60" s="4">
        <v>4080</v>
      </c>
      <c r="D60" s="4">
        <f t="shared" si="0"/>
        <v>1880</v>
      </c>
      <c r="E60" s="1">
        <v>0.46</v>
      </c>
      <c r="F60">
        <v>0</v>
      </c>
      <c r="G60">
        <v>0</v>
      </c>
      <c r="H60" t="str">
        <f t="shared" si="1"/>
        <v>poor</v>
      </c>
      <c r="I60" t="str">
        <f t="shared" si="2"/>
        <v>High Discount</v>
      </c>
    </row>
    <row r="61" spans="1:9" x14ac:dyDescent="0.35">
      <c r="A61" t="s">
        <v>128</v>
      </c>
      <c r="B61" s="4">
        <v>2750</v>
      </c>
      <c r="C61" s="4">
        <v>4471</v>
      </c>
      <c r="D61" s="4">
        <f t="shared" si="0"/>
        <v>1721</v>
      </c>
      <c r="E61" s="1">
        <v>0.38</v>
      </c>
      <c r="F61">
        <v>0</v>
      </c>
      <c r="G61">
        <v>0</v>
      </c>
      <c r="H61" t="str">
        <f t="shared" si="1"/>
        <v>poor</v>
      </c>
      <c r="I61" t="str">
        <f t="shared" si="2"/>
        <v>Medium Discount</v>
      </c>
    </row>
    <row r="62" spans="1:9" x14ac:dyDescent="0.35">
      <c r="A62" t="s">
        <v>131</v>
      </c>
      <c r="B62" s="4">
        <v>475</v>
      </c>
      <c r="C62" s="4">
        <v>931</v>
      </c>
      <c r="D62" s="4">
        <f t="shared" si="0"/>
        <v>456</v>
      </c>
      <c r="E62" s="1">
        <v>0.49</v>
      </c>
      <c r="F62">
        <v>0</v>
      </c>
      <c r="G62">
        <v>0</v>
      </c>
      <c r="H62" t="str">
        <f t="shared" si="1"/>
        <v>poor</v>
      </c>
      <c r="I62" t="str">
        <f t="shared" si="2"/>
        <v>High Discount</v>
      </c>
    </row>
    <row r="63" spans="1:9" x14ac:dyDescent="0.35">
      <c r="A63" t="s">
        <v>134</v>
      </c>
      <c r="B63" s="4">
        <v>238</v>
      </c>
      <c r="C63" s="4">
        <v>476</v>
      </c>
      <c r="D63" s="4">
        <f t="shared" si="0"/>
        <v>238</v>
      </c>
      <c r="E63" s="1">
        <v>0.5</v>
      </c>
      <c r="F63">
        <v>0</v>
      </c>
      <c r="G63">
        <v>0</v>
      </c>
      <c r="H63" t="str">
        <f t="shared" si="1"/>
        <v>poor</v>
      </c>
      <c r="I63" t="str">
        <f t="shared" si="2"/>
        <v>High Discount</v>
      </c>
    </row>
    <row r="64" spans="1:9" x14ac:dyDescent="0.35">
      <c r="A64" t="s">
        <v>137</v>
      </c>
      <c r="B64" s="4">
        <v>610</v>
      </c>
      <c r="C64" s="4">
        <v>1060</v>
      </c>
      <c r="D64" s="4">
        <f t="shared" si="0"/>
        <v>450</v>
      </c>
      <c r="E64" s="1">
        <v>0.42</v>
      </c>
      <c r="F64">
        <v>0</v>
      </c>
      <c r="G64">
        <v>0</v>
      </c>
      <c r="H64" t="str">
        <f t="shared" si="1"/>
        <v>poor</v>
      </c>
      <c r="I64" t="str">
        <f t="shared" si="2"/>
        <v>High Discount</v>
      </c>
    </row>
    <row r="65" spans="1:9" x14ac:dyDescent="0.35">
      <c r="A65" t="s">
        <v>140</v>
      </c>
      <c r="B65" s="4">
        <v>2132</v>
      </c>
      <c r="C65" s="4">
        <v>2169</v>
      </c>
      <c r="D65" s="4">
        <f t="shared" si="0"/>
        <v>37</v>
      </c>
      <c r="E65" s="1">
        <v>0.02</v>
      </c>
      <c r="F65">
        <v>0</v>
      </c>
      <c r="G65">
        <v>0</v>
      </c>
      <c r="H65" t="str">
        <f t="shared" si="1"/>
        <v>poor</v>
      </c>
      <c r="I65" t="str">
        <f t="shared" si="2"/>
        <v>Low Discount</v>
      </c>
    </row>
    <row r="66" spans="1:9" x14ac:dyDescent="0.35">
      <c r="A66" t="s">
        <v>143</v>
      </c>
      <c r="B66" s="4">
        <v>999</v>
      </c>
      <c r="C66" s="4">
        <v>2000</v>
      </c>
      <c r="D66" s="4">
        <f t="shared" si="0"/>
        <v>1001</v>
      </c>
      <c r="E66" s="1">
        <v>0.5</v>
      </c>
      <c r="F66">
        <v>0</v>
      </c>
      <c r="G66">
        <v>0</v>
      </c>
      <c r="H66" t="str">
        <f t="shared" si="1"/>
        <v>poor</v>
      </c>
      <c r="I66" t="str">
        <f t="shared" si="2"/>
        <v>High Discount</v>
      </c>
    </row>
    <row r="67" spans="1:9" x14ac:dyDescent="0.35">
      <c r="A67" t="s">
        <v>145</v>
      </c>
      <c r="B67" s="4">
        <v>1190</v>
      </c>
      <c r="C67" s="4">
        <v>1785</v>
      </c>
      <c r="D67" s="4">
        <f t="shared" ref="D67:D110" si="3">C67-B67</f>
        <v>595</v>
      </c>
      <c r="E67" s="1">
        <v>0.33</v>
      </c>
      <c r="F67">
        <v>0</v>
      </c>
      <c r="G67">
        <v>0</v>
      </c>
      <c r="H67" t="str">
        <f t="shared" ref="H67:H110" si="4">IF(F67&lt;3,"poor",IF(F67&lt;=4.4,"Average",IF(F67&gt;=4.5,"Excellent")))</f>
        <v>poor</v>
      </c>
      <c r="I67" t="str">
        <f t="shared" ref="I67:I110" si="5">IF(E67&lt;20%,"Low Discount",IF(E67&lt;=40%,"Medium Discount",IF(E67&gt;40%,"High Discount")))</f>
        <v>Medium Discount</v>
      </c>
    </row>
    <row r="68" spans="1:9" x14ac:dyDescent="0.35">
      <c r="A68" t="s">
        <v>148</v>
      </c>
      <c r="B68" s="4">
        <v>671</v>
      </c>
      <c r="C68" s="4">
        <v>1316</v>
      </c>
      <c r="D68" s="4">
        <f t="shared" si="3"/>
        <v>645</v>
      </c>
      <c r="E68" s="1">
        <v>0.49</v>
      </c>
      <c r="F68">
        <v>0</v>
      </c>
      <c r="G68">
        <v>0</v>
      </c>
      <c r="H68" t="str">
        <f t="shared" si="4"/>
        <v>poor</v>
      </c>
      <c r="I68" t="str">
        <f t="shared" si="5"/>
        <v>High Discount</v>
      </c>
    </row>
    <row r="69" spans="1:9" x14ac:dyDescent="0.35">
      <c r="A69" t="s">
        <v>151</v>
      </c>
      <c r="B69" s="4">
        <v>1200</v>
      </c>
      <c r="C69" s="4">
        <v>1950</v>
      </c>
      <c r="D69" s="4">
        <f t="shared" si="3"/>
        <v>750</v>
      </c>
      <c r="E69" s="1">
        <v>0.38</v>
      </c>
      <c r="F69">
        <v>0</v>
      </c>
      <c r="G69">
        <v>0</v>
      </c>
      <c r="H69" t="str">
        <f t="shared" si="4"/>
        <v>poor</v>
      </c>
      <c r="I69" t="str">
        <f t="shared" si="5"/>
        <v>Medium Discount</v>
      </c>
    </row>
    <row r="70" spans="1:9" x14ac:dyDescent="0.35">
      <c r="A70" t="s">
        <v>154</v>
      </c>
      <c r="B70" s="4">
        <v>199</v>
      </c>
      <c r="C70" s="4">
        <v>504</v>
      </c>
      <c r="D70" s="4">
        <f t="shared" si="3"/>
        <v>305</v>
      </c>
      <c r="E70" s="1">
        <v>0.61</v>
      </c>
      <c r="F70">
        <v>0</v>
      </c>
      <c r="G70">
        <v>0</v>
      </c>
      <c r="H70" t="str">
        <f t="shared" si="4"/>
        <v>poor</v>
      </c>
      <c r="I70" t="str">
        <f t="shared" si="5"/>
        <v>High Discount</v>
      </c>
    </row>
    <row r="71" spans="1:9" x14ac:dyDescent="0.35">
      <c r="A71" t="s">
        <v>157</v>
      </c>
      <c r="B71" s="4">
        <v>299</v>
      </c>
      <c r="C71" s="4">
        <v>600</v>
      </c>
      <c r="D71" s="4">
        <f t="shared" si="3"/>
        <v>301</v>
      </c>
      <c r="E71" s="1">
        <v>0.5</v>
      </c>
      <c r="F71">
        <v>0</v>
      </c>
      <c r="G71">
        <v>0</v>
      </c>
      <c r="H71" t="str">
        <f t="shared" si="4"/>
        <v>poor</v>
      </c>
      <c r="I71" t="str">
        <f t="shared" si="5"/>
        <v>High Discount</v>
      </c>
    </row>
    <row r="72" spans="1:9" x14ac:dyDescent="0.35">
      <c r="A72" t="s">
        <v>160</v>
      </c>
      <c r="B72" s="4">
        <v>1660</v>
      </c>
      <c r="C72" s="4">
        <v>1699</v>
      </c>
      <c r="D72" s="4">
        <f t="shared" si="3"/>
        <v>39</v>
      </c>
      <c r="E72" s="1">
        <v>0.02</v>
      </c>
      <c r="F72">
        <v>0</v>
      </c>
      <c r="G72">
        <v>0</v>
      </c>
      <c r="H72" t="str">
        <f t="shared" si="4"/>
        <v>poor</v>
      </c>
      <c r="I72" t="str">
        <f t="shared" si="5"/>
        <v>Low Discount</v>
      </c>
    </row>
    <row r="73" spans="1:9" x14ac:dyDescent="0.35">
      <c r="A73" t="s">
        <v>163</v>
      </c>
      <c r="B73" s="4">
        <v>299</v>
      </c>
      <c r="C73" s="4">
        <v>384</v>
      </c>
      <c r="D73" s="4">
        <f t="shared" si="3"/>
        <v>85</v>
      </c>
      <c r="E73" s="1">
        <v>0.22</v>
      </c>
      <c r="F73">
        <v>0</v>
      </c>
      <c r="G73">
        <v>0</v>
      </c>
      <c r="H73" t="str">
        <f t="shared" si="4"/>
        <v>poor</v>
      </c>
      <c r="I73" t="str">
        <f t="shared" si="5"/>
        <v>Medium Discount</v>
      </c>
    </row>
    <row r="74" spans="1:9" x14ac:dyDescent="0.35">
      <c r="A74" t="s">
        <v>165</v>
      </c>
      <c r="B74" s="4">
        <v>1459</v>
      </c>
      <c r="C74" s="4">
        <v>1499</v>
      </c>
      <c r="D74" s="4">
        <f t="shared" si="3"/>
        <v>40</v>
      </c>
      <c r="E74" s="1">
        <v>0.03</v>
      </c>
      <c r="F74">
        <v>0</v>
      </c>
      <c r="G74">
        <v>0</v>
      </c>
      <c r="H74" t="str">
        <f t="shared" si="4"/>
        <v>poor</v>
      </c>
      <c r="I74" t="str">
        <f t="shared" si="5"/>
        <v>Low Discount</v>
      </c>
    </row>
    <row r="75" spans="1:9" x14ac:dyDescent="0.35">
      <c r="A75" t="s">
        <v>168</v>
      </c>
      <c r="B75" s="4">
        <v>799</v>
      </c>
      <c r="C75" s="4">
        <v>1343</v>
      </c>
      <c r="D75" s="4">
        <f t="shared" si="3"/>
        <v>544</v>
      </c>
      <c r="E75" s="1">
        <v>0.41</v>
      </c>
      <c r="F75">
        <v>0</v>
      </c>
      <c r="G75">
        <v>0</v>
      </c>
      <c r="H75" t="str">
        <f t="shared" si="4"/>
        <v>poor</v>
      </c>
      <c r="I75" t="str">
        <f t="shared" si="5"/>
        <v>High Discount</v>
      </c>
    </row>
    <row r="76" spans="1:9" x14ac:dyDescent="0.35">
      <c r="A76" t="s">
        <v>170</v>
      </c>
      <c r="B76" s="4">
        <v>499</v>
      </c>
      <c r="C76" s="4">
        <v>900</v>
      </c>
      <c r="D76" s="4">
        <f t="shared" si="3"/>
        <v>401</v>
      </c>
      <c r="E76" s="1">
        <v>0.45</v>
      </c>
      <c r="F76">
        <v>0</v>
      </c>
      <c r="G76">
        <v>0</v>
      </c>
      <c r="H76" t="str">
        <f t="shared" si="4"/>
        <v>poor</v>
      </c>
      <c r="I76" t="str">
        <f t="shared" si="5"/>
        <v>High Discount</v>
      </c>
    </row>
    <row r="77" spans="1:9" x14ac:dyDescent="0.35">
      <c r="A77" t="s">
        <v>173</v>
      </c>
      <c r="B77" s="4">
        <v>699</v>
      </c>
      <c r="C77" s="4">
        <v>1343</v>
      </c>
      <c r="D77" s="4">
        <f t="shared" si="3"/>
        <v>644</v>
      </c>
      <c r="E77" s="1">
        <v>0.48</v>
      </c>
      <c r="F77">
        <v>0</v>
      </c>
      <c r="G77">
        <v>0</v>
      </c>
      <c r="H77" t="str">
        <f t="shared" si="4"/>
        <v>poor</v>
      </c>
      <c r="I77" t="str">
        <f t="shared" si="5"/>
        <v>High Discount</v>
      </c>
    </row>
    <row r="78" spans="1:9" x14ac:dyDescent="0.35">
      <c r="A78" t="s">
        <v>175</v>
      </c>
      <c r="B78" s="4">
        <v>799</v>
      </c>
      <c r="C78" s="4">
        <v>1567</v>
      </c>
      <c r="D78" s="4">
        <f t="shared" si="3"/>
        <v>768</v>
      </c>
      <c r="E78" s="1">
        <v>0.49</v>
      </c>
      <c r="F78">
        <v>0</v>
      </c>
      <c r="G78">
        <v>0</v>
      </c>
      <c r="H78" t="str">
        <f t="shared" si="4"/>
        <v>poor</v>
      </c>
      <c r="I78" t="str">
        <f t="shared" si="5"/>
        <v>High Discount</v>
      </c>
    </row>
    <row r="79" spans="1:9" x14ac:dyDescent="0.35">
      <c r="A79" t="s">
        <v>177</v>
      </c>
      <c r="B79" s="4">
        <v>2799</v>
      </c>
      <c r="C79" s="4">
        <v>3810</v>
      </c>
      <c r="D79" s="4">
        <f t="shared" si="3"/>
        <v>1011</v>
      </c>
      <c r="E79" s="1">
        <v>0.27</v>
      </c>
      <c r="F79">
        <v>0</v>
      </c>
      <c r="G79">
        <v>0</v>
      </c>
      <c r="H79" t="str">
        <f t="shared" si="4"/>
        <v>poor</v>
      </c>
      <c r="I79" t="str">
        <f t="shared" si="5"/>
        <v>Medium Discount</v>
      </c>
    </row>
    <row r="80" spans="1:9" x14ac:dyDescent="0.35">
      <c r="A80" t="s">
        <v>232</v>
      </c>
      <c r="B80" s="4">
        <v>790</v>
      </c>
      <c r="C80" s="4">
        <v>1485</v>
      </c>
      <c r="D80" s="4">
        <f t="shared" si="3"/>
        <v>695</v>
      </c>
      <c r="E80" s="1">
        <v>0.47</v>
      </c>
      <c r="F80">
        <v>0</v>
      </c>
      <c r="G80">
        <v>0</v>
      </c>
      <c r="H80" t="str">
        <f t="shared" si="4"/>
        <v>poor</v>
      </c>
      <c r="I80" t="str">
        <f t="shared" si="5"/>
        <v>High Discount</v>
      </c>
    </row>
    <row r="81" spans="1:9" x14ac:dyDescent="0.35">
      <c r="A81" t="s">
        <v>235</v>
      </c>
      <c r="B81" s="4">
        <v>690</v>
      </c>
      <c r="C81" s="4">
        <v>1200</v>
      </c>
      <c r="D81" s="4">
        <f t="shared" si="3"/>
        <v>510</v>
      </c>
      <c r="E81" s="1">
        <v>0.43</v>
      </c>
      <c r="F81">
        <v>0</v>
      </c>
      <c r="G81">
        <v>0</v>
      </c>
      <c r="H81" t="str">
        <f t="shared" si="4"/>
        <v>poor</v>
      </c>
      <c r="I81" t="str">
        <f t="shared" si="5"/>
        <v>High Discount</v>
      </c>
    </row>
    <row r="82" spans="1:9" x14ac:dyDescent="0.35">
      <c r="A82" t="s">
        <v>237</v>
      </c>
      <c r="B82" s="4">
        <v>1732</v>
      </c>
      <c r="C82" s="4">
        <v>1799</v>
      </c>
      <c r="D82" s="4">
        <f t="shared" si="3"/>
        <v>67</v>
      </c>
      <c r="E82" s="1">
        <v>0.04</v>
      </c>
      <c r="F82">
        <v>0</v>
      </c>
      <c r="G82">
        <v>0</v>
      </c>
      <c r="H82" t="str">
        <f t="shared" si="4"/>
        <v>poor</v>
      </c>
      <c r="I82" t="str">
        <f t="shared" si="5"/>
        <v>Low Discount</v>
      </c>
    </row>
    <row r="83" spans="1:9" x14ac:dyDescent="0.35">
      <c r="A83" t="s">
        <v>240</v>
      </c>
      <c r="B83" s="4">
        <v>230</v>
      </c>
      <c r="C83" s="4">
        <v>450</v>
      </c>
      <c r="D83" s="4">
        <f t="shared" si="3"/>
        <v>220</v>
      </c>
      <c r="E83" s="1">
        <v>0.49</v>
      </c>
      <c r="F83">
        <v>0</v>
      </c>
      <c r="G83">
        <v>0</v>
      </c>
      <c r="H83" t="str">
        <f t="shared" si="4"/>
        <v>poor</v>
      </c>
      <c r="I83" t="str">
        <f t="shared" si="5"/>
        <v>High Discount</v>
      </c>
    </row>
    <row r="84" spans="1:9" x14ac:dyDescent="0.35">
      <c r="A84" t="s">
        <v>248</v>
      </c>
      <c r="B84" s="4">
        <v>1460</v>
      </c>
      <c r="C84" s="4">
        <v>2290</v>
      </c>
      <c r="D84" s="4">
        <f t="shared" si="3"/>
        <v>830</v>
      </c>
      <c r="E84" s="1">
        <v>0.36</v>
      </c>
      <c r="F84">
        <v>0</v>
      </c>
      <c r="G84">
        <v>0</v>
      </c>
      <c r="H84" t="str">
        <f t="shared" si="4"/>
        <v>poor</v>
      </c>
      <c r="I84" t="str">
        <f t="shared" si="5"/>
        <v>Medium Discount</v>
      </c>
    </row>
    <row r="85" spans="1:9" x14ac:dyDescent="0.35">
      <c r="A85" t="s">
        <v>251</v>
      </c>
      <c r="B85" s="4">
        <v>1666</v>
      </c>
      <c r="C85" s="4">
        <v>1699</v>
      </c>
      <c r="D85" s="4">
        <f t="shared" si="3"/>
        <v>33</v>
      </c>
      <c r="E85" s="1">
        <v>0.02</v>
      </c>
      <c r="F85">
        <v>0</v>
      </c>
      <c r="G85">
        <v>0</v>
      </c>
      <c r="H85" t="str">
        <f t="shared" si="4"/>
        <v>poor</v>
      </c>
      <c r="I85" t="str">
        <f t="shared" si="5"/>
        <v>Low Discount</v>
      </c>
    </row>
    <row r="86" spans="1:9" x14ac:dyDescent="0.35">
      <c r="A86" t="s">
        <v>256</v>
      </c>
      <c r="B86" s="4">
        <v>1466</v>
      </c>
      <c r="C86" s="4">
        <v>1699</v>
      </c>
      <c r="D86" s="4">
        <f t="shared" si="3"/>
        <v>233</v>
      </c>
      <c r="E86" s="1">
        <v>0.14000000000000001</v>
      </c>
      <c r="F86">
        <v>0</v>
      </c>
      <c r="G86">
        <v>0</v>
      </c>
      <c r="H86" t="str">
        <f t="shared" si="4"/>
        <v>poor</v>
      </c>
      <c r="I86" t="str">
        <f t="shared" si="5"/>
        <v>Low Discount</v>
      </c>
    </row>
    <row r="87" spans="1:9" x14ac:dyDescent="0.35">
      <c r="A87" t="s">
        <v>258</v>
      </c>
      <c r="B87" s="4">
        <v>274</v>
      </c>
      <c r="C87" s="4">
        <v>537</v>
      </c>
      <c r="D87" s="4">
        <f t="shared" si="3"/>
        <v>263</v>
      </c>
      <c r="E87" s="1">
        <v>0.49</v>
      </c>
      <c r="F87">
        <v>0</v>
      </c>
      <c r="G87">
        <v>0</v>
      </c>
      <c r="H87" t="str">
        <f t="shared" si="4"/>
        <v>poor</v>
      </c>
      <c r="I87" t="str">
        <f t="shared" si="5"/>
        <v>High Discount</v>
      </c>
    </row>
    <row r="88" spans="1:9" x14ac:dyDescent="0.35">
      <c r="A88" t="s">
        <v>261</v>
      </c>
      <c r="B88" s="4">
        <v>799</v>
      </c>
      <c r="C88" s="4">
        <v>900</v>
      </c>
      <c r="D88" s="4">
        <f t="shared" si="3"/>
        <v>101</v>
      </c>
      <c r="E88" s="1">
        <v>0.11</v>
      </c>
      <c r="F88">
        <v>0</v>
      </c>
      <c r="G88">
        <v>0</v>
      </c>
      <c r="H88" t="str">
        <f t="shared" si="4"/>
        <v>poor</v>
      </c>
      <c r="I88" t="str">
        <f t="shared" si="5"/>
        <v>Low Discount</v>
      </c>
    </row>
    <row r="89" spans="1:9" x14ac:dyDescent="0.35">
      <c r="A89" t="s">
        <v>264</v>
      </c>
      <c r="B89" s="4">
        <v>1468</v>
      </c>
      <c r="C89" s="4">
        <v>1699</v>
      </c>
      <c r="D89" s="4">
        <f t="shared" si="3"/>
        <v>231</v>
      </c>
      <c r="E89" s="1">
        <v>0.14000000000000001</v>
      </c>
      <c r="F89">
        <v>0</v>
      </c>
      <c r="G89">
        <v>0</v>
      </c>
      <c r="H89" t="str">
        <f t="shared" si="4"/>
        <v>poor</v>
      </c>
      <c r="I89" t="str">
        <f t="shared" si="5"/>
        <v>Low Discount</v>
      </c>
    </row>
    <row r="90" spans="1:9" x14ac:dyDescent="0.35">
      <c r="A90" t="s">
        <v>266</v>
      </c>
      <c r="B90" s="4">
        <v>630</v>
      </c>
      <c r="C90" s="4">
        <v>1100</v>
      </c>
      <c r="D90" s="4">
        <f t="shared" si="3"/>
        <v>470</v>
      </c>
      <c r="E90" s="1">
        <v>0.43</v>
      </c>
      <c r="F90">
        <v>0</v>
      </c>
      <c r="G90">
        <v>0</v>
      </c>
      <c r="H90" t="str">
        <f t="shared" si="4"/>
        <v>poor</v>
      </c>
      <c r="I90" t="str">
        <f t="shared" si="5"/>
        <v>High Discount</v>
      </c>
    </row>
    <row r="91" spans="1:9" x14ac:dyDescent="0.35">
      <c r="A91" t="s">
        <v>269</v>
      </c>
      <c r="B91" s="4">
        <v>850</v>
      </c>
      <c r="C91" s="4">
        <v>1700</v>
      </c>
      <c r="D91" s="4">
        <f t="shared" si="3"/>
        <v>850</v>
      </c>
      <c r="E91" s="1">
        <v>0.5</v>
      </c>
      <c r="F91">
        <v>0</v>
      </c>
      <c r="G91">
        <v>0</v>
      </c>
      <c r="H91" t="str">
        <f t="shared" si="4"/>
        <v>poor</v>
      </c>
      <c r="I91" t="str">
        <f t="shared" si="5"/>
        <v>High Discount</v>
      </c>
    </row>
    <row r="92" spans="1:9" x14ac:dyDescent="0.35">
      <c r="A92" t="s">
        <v>272</v>
      </c>
      <c r="B92" s="4">
        <v>1300</v>
      </c>
      <c r="C92" s="4">
        <v>2500</v>
      </c>
      <c r="D92" s="4">
        <f t="shared" si="3"/>
        <v>1200</v>
      </c>
      <c r="E92" s="1">
        <v>0.48</v>
      </c>
      <c r="F92">
        <v>0</v>
      </c>
      <c r="G92">
        <v>0</v>
      </c>
      <c r="H92" t="str">
        <f t="shared" si="4"/>
        <v>poor</v>
      </c>
      <c r="I92" t="str">
        <f t="shared" si="5"/>
        <v>High Discount</v>
      </c>
    </row>
    <row r="93" spans="1:9" x14ac:dyDescent="0.35">
      <c r="A93" t="s">
        <v>274</v>
      </c>
      <c r="B93" s="4">
        <v>105</v>
      </c>
      <c r="C93" s="4">
        <v>200</v>
      </c>
      <c r="D93" s="4">
        <f t="shared" si="3"/>
        <v>95</v>
      </c>
      <c r="E93" s="1">
        <v>0.48</v>
      </c>
      <c r="F93">
        <v>0</v>
      </c>
      <c r="G93">
        <v>0</v>
      </c>
      <c r="H93" t="str">
        <f t="shared" si="4"/>
        <v>poor</v>
      </c>
      <c r="I93" t="str">
        <f t="shared" si="5"/>
        <v>High Discount</v>
      </c>
    </row>
    <row r="94" spans="1:9" x14ac:dyDescent="0.35">
      <c r="A94" t="s">
        <v>277</v>
      </c>
      <c r="B94" s="4">
        <v>899</v>
      </c>
      <c r="C94" s="4">
        <v>1699</v>
      </c>
      <c r="D94" s="4">
        <f t="shared" si="3"/>
        <v>800</v>
      </c>
      <c r="E94" s="1">
        <v>0.47</v>
      </c>
      <c r="F94">
        <v>0</v>
      </c>
      <c r="G94">
        <v>0</v>
      </c>
      <c r="H94" t="str">
        <f t="shared" si="4"/>
        <v>poor</v>
      </c>
      <c r="I94" t="str">
        <f t="shared" si="5"/>
        <v>High Discount</v>
      </c>
    </row>
    <row r="95" spans="1:9" x14ac:dyDescent="0.35">
      <c r="A95" t="s">
        <v>278</v>
      </c>
      <c r="B95" s="4">
        <v>1200</v>
      </c>
      <c r="C95" s="4">
        <v>2400</v>
      </c>
      <c r="D95" s="4">
        <f t="shared" si="3"/>
        <v>1200</v>
      </c>
      <c r="E95" s="1">
        <v>0.5</v>
      </c>
      <c r="F95">
        <v>0</v>
      </c>
      <c r="G95">
        <v>0</v>
      </c>
      <c r="H95" t="str">
        <f t="shared" si="4"/>
        <v>poor</v>
      </c>
      <c r="I95" t="str">
        <f t="shared" si="5"/>
        <v>High Discount</v>
      </c>
    </row>
    <row r="96" spans="1:9" x14ac:dyDescent="0.35">
      <c r="A96" t="s">
        <v>280</v>
      </c>
      <c r="B96" s="4">
        <v>1526</v>
      </c>
      <c r="C96" s="4">
        <v>1660</v>
      </c>
      <c r="D96" s="4">
        <f t="shared" si="3"/>
        <v>134</v>
      </c>
      <c r="E96" s="1">
        <v>0.08</v>
      </c>
      <c r="F96">
        <v>0</v>
      </c>
      <c r="G96">
        <v>0</v>
      </c>
      <c r="H96" t="str">
        <f t="shared" si="4"/>
        <v>poor</v>
      </c>
      <c r="I96" t="str">
        <f t="shared" si="5"/>
        <v>Low Discount</v>
      </c>
    </row>
    <row r="97" spans="1:9" x14ac:dyDescent="0.35">
      <c r="A97" t="s">
        <v>282</v>
      </c>
      <c r="B97" s="4">
        <v>1462</v>
      </c>
      <c r="C97" s="4">
        <v>1499</v>
      </c>
      <c r="D97" s="4">
        <f t="shared" si="3"/>
        <v>37</v>
      </c>
      <c r="E97" s="1">
        <v>0.02</v>
      </c>
      <c r="F97">
        <v>0</v>
      </c>
      <c r="G97">
        <v>0</v>
      </c>
      <c r="H97" t="str">
        <f t="shared" si="4"/>
        <v>poor</v>
      </c>
      <c r="I97" t="str">
        <f t="shared" si="5"/>
        <v>Low Discount</v>
      </c>
    </row>
    <row r="98" spans="1:9" x14ac:dyDescent="0.35">
      <c r="A98" t="s">
        <v>284</v>
      </c>
      <c r="B98" s="4">
        <v>248</v>
      </c>
      <c r="C98" s="4">
        <v>486</v>
      </c>
      <c r="D98" s="4">
        <f t="shared" si="3"/>
        <v>238</v>
      </c>
      <c r="E98" s="1">
        <v>0.49</v>
      </c>
      <c r="F98">
        <v>0</v>
      </c>
      <c r="G98">
        <v>0</v>
      </c>
      <c r="H98" t="str">
        <f t="shared" si="4"/>
        <v>poor</v>
      </c>
      <c r="I98" t="str">
        <f t="shared" si="5"/>
        <v>High Discount</v>
      </c>
    </row>
    <row r="99" spans="1:9" x14ac:dyDescent="0.35">
      <c r="A99" t="s">
        <v>287</v>
      </c>
      <c r="B99" s="4">
        <v>3546</v>
      </c>
      <c r="C99" s="4">
        <v>3699</v>
      </c>
      <c r="D99" s="4">
        <f t="shared" si="3"/>
        <v>153</v>
      </c>
      <c r="E99" s="1">
        <v>0.04</v>
      </c>
      <c r="F99">
        <v>0</v>
      </c>
      <c r="G99">
        <v>0</v>
      </c>
      <c r="H99" t="str">
        <f t="shared" si="4"/>
        <v>poor</v>
      </c>
      <c r="I99" t="str">
        <f t="shared" si="5"/>
        <v>Low Discount</v>
      </c>
    </row>
    <row r="100" spans="1:9" x14ac:dyDescent="0.35">
      <c r="A100" t="s">
        <v>289</v>
      </c>
      <c r="B100" s="4">
        <v>525</v>
      </c>
      <c r="C100" s="4">
        <v>1029</v>
      </c>
      <c r="D100" s="4">
        <f t="shared" si="3"/>
        <v>504</v>
      </c>
      <c r="E100" s="1">
        <v>0.49</v>
      </c>
      <c r="F100">
        <v>0</v>
      </c>
      <c r="G100">
        <v>0</v>
      </c>
      <c r="H100" t="str">
        <f t="shared" si="4"/>
        <v>poor</v>
      </c>
      <c r="I100" t="str">
        <f t="shared" si="5"/>
        <v>High Discount</v>
      </c>
    </row>
    <row r="101" spans="1:9" x14ac:dyDescent="0.35">
      <c r="A101" t="s">
        <v>292</v>
      </c>
      <c r="B101" s="4">
        <v>1080</v>
      </c>
      <c r="C101" s="4">
        <v>1874</v>
      </c>
      <c r="D101" s="4">
        <f t="shared" si="3"/>
        <v>794</v>
      </c>
      <c r="E101" s="1">
        <v>0.42</v>
      </c>
      <c r="F101">
        <v>0</v>
      </c>
      <c r="G101">
        <v>0</v>
      </c>
      <c r="H101" t="str">
        <f t="shared" si="4"/>
        <v>poor</v>
      </c>
      <c r="I101" t="str">
        <f t="shared" si="5"/>
        <v>High Discount</v>
      </c>
    </row>
    <row r="102" spans="1:9" x14ac:dyDescent="0.35">
      <c r="A102" t="s">
        <v>298</v>
      </c>
      <c r="B102" s="4">
        <v>1420</v>
      </c>
      <c r="C102" s="4">
        <v>2420</v>
      </c>
      <c r="D102" s="4">
        <f t="shared" si="3"/>
        <v>1000</v>
      </c>
      <c r="E102" s="1">
        <v>0.41</v>
      </c>
      <c r="F102">
        <v>0</v>
      </c>
      <c r="G102">
        <v>0</v>
      </c>
      <c r="H102" t="str">
        <f t="shared" si="4"/>
        <v>poor</v>
      </c>
      <c r="I102" t="str">
        <f t="shared" si="5"/>
        <v>High Discount</v>
      </c>
    </row>
    <row r="103" spans="1:9" x14ac:dyDescent="0.35">
      <c r="A103" t="s">
        <v>301</v>
      </c>
      <c r="B103" s="4">
        <v>1875</v>
      </c>
      <c r="C103" s="4">
        <v>1899</v>
      </c>
      <c r="D103" s="4">
        <f t="shared" si="3"/>
        <v>24</v>
      </c>
      <c r="E103" s="1">
        <v>0.01</v>
      </c>
      <c r="F103">
        <v>0</v>
      </c>
      <c r="G103">
        <v>0</v>
      </c>
      <c r="H103" t="str">
        <f t="shared" si="4"/>
        <v>poor</v>
      </c>
      <c r="I103" t="str">
        <f t="shared" si="5"/>
        <v>Low Discount</v>
      </c>
    </row>
    <row r="104" spans="1:9" x14ac:dyDescent="0.35">
      <c r="A104" t="s">
        <v>304</v>
      </c>
      <c r="B104" s="4">
        <v>198</v>
      </c>
      <c r="C104" s="4">
        <v>260</v>
      </c>
      <c r="D104" s="4">
        <f t="shared" si="3"/>
        <v>62</v>
      </c>
      <c r="E104" s="1">
        <v>0.24</v>
      </c>
      <c r="F104">
        <v>0</v>
      </c>
      <c r="G104">
        <v>0</v>
      </c>
      <c r="H104" t="str">
        <f t="shared" si="4"/>
        <v>poor</v>
      </c>
      <c r="I104" t="str">
        <f t="shared" si="5"/>
        <v>Medium Discount</v>
      </c>
    </row>
    <row r="105" spans="1:9" x14ac:dyDescent="0.35">
      <c r="A105" t="s">
        <v>307</v>
      </c>
      <c r="B105" s="4">
        <v>1150</v>
      </c>
      <c r="C105" s="4">
        <v>1737</v>
      </c>
      <c r="D105" s="4">
        <f t="shared" si="3"/>
        <v>587</v>
      </c>
      <c r="E105" s="1">
        <v>0.34</v>
      </c>
      <c r="F105">
        <v>0</v>
      </c>
      <c r="G105">
        <v>0</v>
      </c>
      <c r="H105" t="str">
        <f t="shared" si="4"/>
        <v>poor</v>
      </c>
      <c r="I105" t="str">
        <f t="shared" si="5"/>
        <v>Medium Discount</v>
      </c>
    </row>
    <row r="106" spans="1:9" x14ac:dyDescent="0.35">
      <c r="A106" t="s">
        <v>310</v>
      </c>
      <c r="B106" s="4">
        <v>1190</v>
      </c>
      <c r="C106" s="4">
        <v>1810</v>
      </c>
      <c r="D106" s="4">
        <f t="shared" si="3"/>
        <v>620</v>
      </c>
      <c r="E106" s="1">
        <v>0.34</v>
      </c>
      <c r="F106">
        <v>0</v>
      </c>
      <c r="G106">
        <v>0</v>
      </c>
      <c r="H106" t="str">
        <f t="shared" si="4"/>
        <v>poor</v>
      </c>
      <c r="I106" t="str">
        <f t="shared" si="5"/>
        <v>Medium Discount</v>
      </c>
    </row>
    <row r="107" spans="1:9" x14ac:dyDescent="0.35">
      <c r="A107" t="s">
        <v>312</v>
      </c>
      <c r="B107" s="4">
        <v>1658</v>
      </c>
      <c r="C107" s="4">
        <v>1699</v>
      </c>
      <c r="D107" s="4">
        <f t="shared" si="3"/>
        <v>41</v>
      </c>
      <c r="E107" s="1">
        <v>0.02</v>
      </c>
      <c r="F107">
        <v>0</v>
      </c>
      <c r="G107">
        <v>0</v>
      </c>
      <c r="H107" t="str">
        <f t="shared" si="4"/>
        <v>poor</v>
      </c>
      <c r="I107" t="str">
        <f t="shared" si="5"/>
        <v>Low Discount</v>
      </c>
    </row>
    <row r="108" spans="1:9" x14ac:dyDescent="0.35">
      <c r="A108" t="s">
        <v>314</v>
      </c>
      <c r="B108" s="4">
        <v>1768</v>
      </c>
      <c r="C108" s="4">
        <v>1799</v>
      </c>
      <c r="D108" s="4">
        <f t="shared" si="3"/>
        <v>31</v>
      </c>
      <c r="E108" s="1">
        <v>0.02</v>
      </c>
      <c r="F108">
        <v>0</v>
      </c>
      <c r="G108">
        <v>0</v>
      </c>
      <c r="H108" t="str">
        <f t="shared" si="4"/>
        <v>poor</v>
      </c>
      <c r="I108" t="str">
        <f t="shared" si="5"/>
        <v>Low Discount</v>
      </c>
    </row>
    <row r="109" spans="1:9" x14ac:dyDescent="0.35">
      <c r="A109" t="s">
        <v>316</v>
      </c>
      <c r="B109" s="4">
        <v>199</v>
      </c>
      <c r="C109" s="4">
        <v>553</v>
      </c>
      <c r="D109" s="4">
        <f t="shared" si="3"/>
        <v>354</v>
      </c>
      <c r="E109" s="1">
        <v>0.64</v>
      </c>
      <c r="F109">
        <v>0</v>
      </c>
      <c r="G109">
        <v>0</v>
      </c>
      <c r="H109" t="str">
        <f t="shared" si="4"/>
        <v>poor</v>
      </c>
      <c r="I109" t="str">
        <f t="shared" si="5"/>
        <v>High Discount</v>
      </c>
    </row>
    <row r="110" spans="1:9" x14ac:dyDescent="0.35">
      <c r="A110" t="s">
        <v>320</v>
      </c>
      <c r="B110" s="4">
        <v>169</v>
      </c>
      <c r="C110" s="4">
        <v>320</v>
      </c>
      <c r="D110" s="4">
        <f t="shared" si="3"/>
        <v>151</v>
      </c>
      <c r="E110" s="1">
        <v>0.47</v>
      </c>
      <c r="F110">
        <v>0</v>
      </c>
      <c r="G110">
        <v>0</v>
      </c>
      <c r="H110" t="str">
        <f t="shared" si="4"/>
        <v>poor</v>
      </c>
      <c r="I110" t="str">
        <f t="shared" si="5"/>
        <v>High Discount</v>
      </c>
    </row>
  </sheetData>
  <autoFilter ref="A1:G110" xr:uid="{E4ED85AA-FF78-4F21-85DB-8E9CD856E758}">
    <sortState xmlns:xlrd2="http://schemas.microsoft.com/office/spreadsheetml/2017/richdata2" ref="A2:G110">
      <sortCondition descending="1" ref="F1:F116"/>
    </sortState>
  </autoFilter>
  <conditionalFormatting sqref="A1:A110 A117:A1048576">
    <cfRule type="duplicateValues" dxfId="3" priority="2"/>
  </conditionalFormatting>
  <conditionalFormatting sqref="A1:A1048576">
    <cfRule type="duplicateValues" dxfId="2"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E6503-1E82-48C8-BCCF-79505637A6A4}">
  <dimension ref="A3:B50"/>
  <sheetViews>
    <sheetView topLeftCell="A31" workbookViewId="0">
      <selection activeCell="C50" sqref="C50"/>
    </sheetView>
  </sheetViews>
  <sheetFormatPr defaultRowHeight="14.5" x14ac:dyDescent="0.35"/>
  <cols>
    <col min="1" max="1" width="13.453125" bestFit="1" customWidth="1"/>
    <col min="2" max="2" width="19.81640625" bestFit="1" customWidth="1"/>
  </cols>
  <sheetData>
    <row r="3" spans="1:2" x14ac:dyDescent="0.35">
      <c r="A3" s="5" t="s">
        <v>347</v>
      </c>
      <c r="B3" t="s">
        <v>346</v>
      </c>
    </row>
    <row r="4" spans="1:2" x14ac:dyDescent="0.35">
      <c r="A4" s="6">
        <v>0.01</v>
      </c>
      <c r="B4">
        <v>0</v>
      </c>
    </row>
    <row r="5" spans="1:2" x14ac:dyDescent="0.35">
      <c r="A5" s="6">
        <v>0.02</v>
      </c>
      <c r="B5">
        <v>0</v>
      </c>
    </row>
    <row r="6" spans="1:2" x14ac:dyDescent="0.35">
      <c r="A6" s="6">
        <v>0.03</v>
      </c>
      <c r="B6">
        <v>0</v>
      </c>
    </row>
    <row r="7" spans="1:2" x14ac:dyDescent="0.35">
      <c r="A7" s="6">
        <v>0.04</v>
      </c>
      <c r="B7">
        <v>0</v>
      </c>
    </row>
    <row r="8" spans="1:2" x14ac:dyDescent="0.35">
      <c r="A8" s="6">
        <v>0.08</v>
      </c>
      <c r="B8">
        <v>0</v>
      </c>
    </row>
    <row r="9" spans="1:2" x14ac:dyDescent="0.35">
      <c r="A9" s="6">
        <v>0.09</v>
      </c>
      <c r="B9">
        <v>15</v>
      </c>
    </row>
    <row r="10" spans="1:2" x14ac:dyDescent="0.35">
      <c r="A10" s="6">
        <v>0.11</v>
      </c>
      <c r="B10">
        <v>0</v>
      </c>
    </row>
    <row r="11" spans="1:2" x14ac:dyDescent="0.35">
      <c r="A11" s="6">
        <v>0.13</v>
      </c>
      <c r="B11">
        <v>6</v>
      </c>
    </row>
    <row r="12" spans="1:2" x14ac:dyDescent="0.35">
      <c r="A12" s="6">
        <v>0.14000000000000001</v>
      </c>
      <c r="B12">
        <v>0</v>
      </c>
    </row>
    <row r="13" spans="1:2" x14ac:dyDescent="0.35">
      <c r="A13" s="6">
        <v>0.18</v>
      </c>
      <c r="B13">
        <v>12</v>
      </c>
    </row>
    <row r="14" spans="1:2" x14ac:dyDescent="0.35">
      <c r="A14" s="6">
        <v>0.19</v>
      </c>
      <c r="B14">
        <v>5</v>
      </c>
    </row>
    <row r="15" spans="1:2" x14ac:dyDescent="0.35">
      <c r="A15" s="6">
        <v>0.2</v>
      </c>
      <c r="B15">
        <v>12</v>
      </c>
    </row>
    <row r="16" spans="1:2" x14ac:dyDescent="0.35">
      <c r="A16" s="6">
        <v>0.21</v>
      </c>
      <c r="B16">
        <v>1</v>
      </c>
    </row>
    <row r="17" spans="1:2" x14ac:dyDescent="0.35">
      <c r="A17" s="6">
        <v>0.22</v>
      </c>
      <c r="B17">
        <v>16</v>
      </c>
    </row>
    <row r="18" spans="1:2" x14ac:dyDescent="0.35">
      <c r="A18" s="6">
        <v>0.23</v>
      </c>
      <c r="B18">
        <v>14</v>
      </c>
    </row>
    <row r="19" spans="1:2" x14ac:dyDescent="0.35">
      <c r="A19" s="6">
        <v>0.24</v>
      </c>
      <c r="B19">
        <v>55</v>
      </c>
    </row>
    <row r="20" spans="1:2" x14ac:dyDescent="0.35">
      <c r="A20" s="6">
        <v>0.25</v>
      </c>
      <c r="B20">
        <v>24</v>
      </c>
    </row>
    <row r="21" spans="1:2" x14ac:dyDescent="0.35">
      <c r="A21" s="6">
        <v>0.26</v>
      </c>
      <c r="B21">
        <v>5</v>
      </c>
    </row>
    <row r="22" spans="1:2" x14ac:dyDescent="0.35">
      <c r="A22" s="6">
        <v>0.27</v>
      </c>
      <c r="B22">
        <v>52</v>
      </c>
    </row>
    <row r="23" spans="1:2" x14ac:dyDescent="0.35">
      <c r="A23" s="6">
        <v>0.28999999999999998</v>
      </c>
      <c r="B23">
        <v>5</v>
      </c>
    </row>
    <row r="24" spans="1:2" x14ac:dyDescent="0.35">
      <c r="A24" s="6">
        <v>0.3</v>
      </c>
      <c r="B24">
        <v>20</v>
      </c>
    </row>
    <row r="25" spans="1:2" x14ac:dyDescent="0.35">
      <c r="A25" s="6">
        <v>0.32</v>
      </c>
      <c r="B25">
        <v>13</v>
      </c>
    </row>
    <row r="26" spans="1:2" x14ac:dyDescent="0.35">
      <c r="A26" s="6">
        <v>0.33</v>
      </c>
      <c r="B26">
        <v>11</v>
      </c>
    </row>
    <row r="27" spans="1:2" x14ac:dyDescent="0.35">
      <c r="A27" s="6">
        <v>0.34</v>
      </c>
      <c r="B27">
        <v>51</v>
      </c>
    </row>
    <row r="28" spans="1:2" x14ac:dyDescent="0.35">
      <c r="A28" s="6">
        <v>0.35</v>
      </c>
      <c r="B28">
        <v>55</v>
      </c>
    </row>
    <row r="29" spans="1:2" x14ac:dyDescent="0.35">
      <c r="A29" s="6">
        <v>0.36</v>
      </c>
      <c r="B29">
        <v>0</v>
      </c>
    </row>
    <row r="30" spans="1:2" x14ac:dyDescent="0.35">
      <c r="A30" s="6">
        <v>0.37</v>
      </c>
      <c r="B30">
        <v>9</v>
      </c>
    </row>
    <row r="31" spans="1:2" x14ac:dyDescent="0.35">
      <c r="A31" s="6">
        <v>0.38</v>
      </c>
      <c r="B31">
        <v>2</v>
      </c>
    </row>
    <row r="32" spans="1:2" x14ac:dyDescent="0.35">
      <c r="A32" s="6">
        <v>0.39</v>
      </c>
      <c r="B32">
        <v>5</v>
      </c>
    </row>
    <row r="33" spans="1:2" x14ac:dyDescent="0.35">
      <c r="A33" s="6">
        <v>0.4</v>
      </c>
      <c r="B33">
        <v>1</v>
      </c>
    </row>
    <row r="34" spans="1:2" x14ac:dyDescent="0.35">
      <c r="A34" s="6">
        <v>0.41</v>
      </c>
      <c r="B34">
        <v>36</v>
      </c>
    </row>
    <row r="35" spans="1:2" x14ac:dyDescent="0.35">
      <c r="A35" s="6">
        <v>0.42</v>
      </c>
      <c r="B35">
        <v>6</v>
      </c>
    </row>
    <row r="36" spans="1:2" x14ac:dyDescent="0.35">
      <c r="A36" s="6">
        <v>0.43</v>
      </c>
      <c r="B36">
        <v>11</v>
      </c>
    </row>
    <row r="37" spans="1:2" x14ac:dyDescent="0.35">
      <c r="A37" s="6">
        <v>0.45</v>
      </c>
      <c r="B37">
        <v>28</v>
      </c>
    </row>
    <row r="38" spans="1:2" x14ac:dyDescent="0.35">
      <c r="A38" s="6">
        <v>0.46</v>
      </c>
      <c r="B38">
        <v>3</v>
      </c>
    </row>
    <row r="39" spans="1:2" x14ac:dyDescent="0.35">
      <c r="A39" s="6">
        <v>0.47</v>
      </c>
      <c r="B39">
        <v>39</v>
      </c>
    </row>
    <row r="40" spans="1:2" x14ac:dyDescent="0.35">
      <c r="A40" s="6">
        <v>0.48</v>
      </c>
      <c r="B40">
        <v>9</v>
      </c>
    </row>
    <row r="41" spans="1:2" x14ac:dyDescent="0.35">
      <c r="A41" s="6">
        <v>0.49</v>
      </c>
      <c r="B41">
        <v>118</v>
      </c>
    </row>
    <row r="42" spans="1:2" x14ac:dyDescent="0.35">
      <c r="A42" s="6">
        <v>0.5</v>
      </c>
      <c r="B42">
        <v>8</v>
      </c>
    </row>
    <row r="43" spans="1:2" x14ac:dyDescent="0.35">
      <c r="A43" s="6">
        <v>0.51</v>
      </c>
      <c r="B43">
        <v>2</v>
      </c>
    </row>
    <row r="44" spans="1:2" x14ac:dyDescent="0.35">
      <c r="A44" s="6">
        <v>0.52</v>
      </c>
      <c r="B44">
        <v>24</v>
      </c>
    </row>
    <row r="45" spans="1:2" x14ac:dyDescent="0.35">
      <c r="A45" s="6">
        <v>0.53</v>
      </c>
      <c r="B45">
        <v>15</v>
      </c>
    </row>
    <row r="46" spans="1:2" x14ac:dyDescent="0.35">
      <c r="A46" s="6">
        <v>0.54</v>
      </c>
      <c r="B46">
        <v>17</v>
      </c>
    </row>
    <row r="47" spans="1:2" x14ac:dyDescent="0.35">
      <c r="A47" s="6">
        <v>0.55000000000000004</v>
      </c>
      <c r="B47">
        <v>18</v>
      </c>
    </row>
    <row r="48" spans="1:2" x14ac:dyDescent="0.35">
      <c r="A48" s="6">
        <v>0.61</v>
      </c>
      <c r="B48">
        <v>0</v>
      </c>
    </row>
    <row r="49" spans="1:2" x14ac:dyDescent="0.35">
      <c r="A49" s="6">
        <v>0.64</v>
      </c>
      <c r="B49">
        <v>0</v>
      </c>
    </row>
    <row r="50" spans="1:2" x14ac:dyDescent="0.35">
      <c r="A50" s="6" t="s">
        <v>348</v>
      </c>
      <c r="B50">
        <v>723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EA2E6-9E34-459A-8A99-664C64817E46}">
  <dimension ref="A1:E75"/>
  <sheetViews>
    <sheetView topLeftCell="A59" workbookViewId="0">
      <selection activeCell="F80" sqref="F80"/>
    </sheetView>
  </sheetViews>
  <sheetFormatPr defaultRowHeight="14.5" x14ac:dyDescent="0.35"/>
  <cols>
    <col min="1" max="1" width="64.7265625" bestFit="1" customWidth="1"/>
    <col min="2" max="2" width="12.1796875" bestFit="1" customWidth="1"/>
    <col min="3" max="3" width="9" bestFit="1" customWidth="1"/>
    <col min="4" max="4" width="10.81640625" bestFit="1" customWidth="1"/>
    <col min="5" max="5" width="6.54296875" bestFit="1" customWidth="1"/>
  </cols>
  <sheetData>
    <row r="1" spans="1:5" x14ac:dyDescent="0.35">
      <c r="A1" t="s">
        <v>326</v>
      </c>
    </row>
    <row r="2" spans="1:5" x14ac:dyDescent="0.35">
      <c r="A2" t="s">
        <v>327</v>
      </c>
    </row>
    <row r="3" spans="1:5" x14ac:dyDescent="0.35">
      <c r="A3" t="s">
        <v>328</v>
      </c>
    </row>
    <row r="4" spans="1:5" x14ac:dyDescent="0.35">
      <c r="A4" t="s">
        <v>329</v>
      </c>
    </row>
    <row r="5" spans="1:5" x14ac:dyDescent="0.35">
      <c r="A5" t="s">
        <v>330</v>
      </c>
    </row>
    <row r="7" spans="1:5" x14ac:dyDescent="0.35">
      <c r="A7" s="8"/>
      <c r="B7" s="11" t="s">
        <v>332</v>
      </c>
      <c r="C7" s="11" t="s">
        <v>333</v>
      </c>
      <c r="D7" s="11" t="s">
        <v>334</v>
      </c>
      <c r="E7" s="11" t="s">
        <v>335</v>
      </c>
    </row>
    <row r="8" spans="1:5" x14ac:dyDescent="0.35">
      <c r="A8" s="8" t="s">
        <v>331</v>
      </c>
      <c r="B8" s="9">
        <f>AVERAGE(WORKING!B2:B110)</f>
        <v>1208.2568807339449</v>
      </c>
      <c r="C8" s="9">
        <f>AVERAGE(WORKING!C2:C110)</f>
        <v>1837.7522935779816</v>
      </c>
      <c r="D8" s="10">
        <f>AVERAGE(WORKING!E2:E110)</f>
        <v>0.36339449541284397</v>
      </c>
      <c r="E8" s="9">
        <f>AVERAGE(WORKING!G2:G110)</f>
        <v>2.0339449541284398</v>
      </c>
    </row>
    <row r="9" spans="1:5" x14ac:dyDescent="0.35">
      <c r="A9" s="8" t="s">
        <v>336</v>
      </c>
      <c r="B9" s="9">
        <f>MAX(WORKING!B2:B110)</f>
        <v>3750</v>
      </c>
      <c r="C9" s="8"/>
      <c r="D9" s="8"/>
      <c r="E9" s="8"/>
    </row>
    <row r="10" spans="1:5" x14ac:dyDescent="0.35">
      <c r="A10" s="8" t="s">
        <v>337</v>
      </c>
      <c r="B10" s="9">
        <f>MIN(WORKING!B2:B110)</f>
        <v>38</v>
      </c>
      <c r="C10" s="8"/>
      <c r="D10" s="8"/>
      <c r="E10" s="8"/>
    </row>
    <row r="11" spans="1:5" x14ac:dyDescent="0.35">
      <c r="A11" s="8" t="s">
        <v>338</v>
      </c>
      <c r="B11" s="8">
        <f>AVERAGEIF(WORKING!I2:I110, "High Discount", WORKING!G2:G110)</f>
        <v>1.8372881355932196</v>
      </c>
      <c r="C11" s="8"/>
      <c r="D11" s="8"/>
      <c r="E11" s="8"/>
    </row>
    <row r="12" spans="1:5" x14ac:dyDescent="0.35">
      <c r="A12" s="8" t="s">
        <v>339</v>
      </c>
      <c r="B12" s="8">
        <f>AVERAGEIF(WORKING!I2:I111,"Low Discount",WORKING!G2:G111)</f>
        <v>0.82777777777777772</v>
      </c>
      <c r="C12" s="8"/>
      <c r="D12" s="8"/>
      <c r="E12" s="8"/>
    </row>
    <row r="13" spans="1:5" x14ac:dyDescent="0.35">
      <c r="A13" s="8" t="s">
        <v>340</v>
      </c>
      <c r="B13" s="8">
        <f>AVERAGEIF(WORKING!I2:I112,"High Discount",WORKING!F2:F112)</f>
        <v>5.6610169491525424</v>
      </c>
      <c r="C13" s="8"/>
      <c r="D13" s="8"/>
      <c r="E13" s="8"/>
    </row>
    <row r="14" spans="1:5" x14ac:dyDescent="0.35">
      <c r="A14" s="8" t="s">
        <v>341</v>
      </c>
      <c r="B14" s="8">
        <f>AVERAGEIF(WORKING!I2:I113,"Low Discount",WORKING!F2:F113)</f>
        <v>2.1111111111111112</v>
      </c>
      <c r="C14" s="8"/>
      <c r="D14" s="8"/>
      <c r="E14" s="8"/>
    </row>
    <row r="15" spans="1:5" x14ac:dyDescent="0.35">
      <c r="A15" s="8" t="s">
        <v>330</v>
      </c>
      <c r="B15" s="8"/>
      <c r="C15" s="8"/>
      <c r="D15" s="8"/>
      <c r="E15" s="8"/>
    </row>
    <row r="16" spans="1:5" x14ac:dyDescent="0.35">
      <c r="A16" s="8" t="s">
        <v>342</v>
      </c>
      <c r="B16" s="8">
        <f>COUNTIF(WORKING!H2:H110,"POOR")</f>
        <v>64</v>
      </c>
      <c r="C16" s="8"/>
      <c r="D16" s="8"/>
      <c r="E16" s="8"/>
    </row>
    <row r="17" spans="1:5" x14ac:dyDescent="0.35">
      <c r="A17" s="8" t="s">
        <v>331</v>
      </c>
      <c r="B17" s="8">
        <f>COUNTIF(WORKING!H2:H111,"Average")</f>
        <v>1</v>
      </c>
      <c r="C17" s="8"/>
      <c r="D17" s="8"/>
      <c r="E17" s="8"/>
    </row>
    <row r="18" spans="1:5" x14ac:dyDescent="0.35">
      <c r="A18" s="8" t="s">
        <v>343</v>
      </c>
      <c r="B18" s="8">
        <f>COUNTIF(WORKING!H2:H112,"Excellent")</f>
        <v>44</v>
      </c>
      <c r="C18" s="8"/>
      <c r="D18" s="8"/>
      <c r="E18" s="8"/>
    </row>
    <row r="21" spans="1:5" x14ac:dyDescent="0.35">
      <c r="A21" t="s">
        <v>355</v>
      </c>
    </row>
    <row r="22" spans="1:5" x14ac:dyDescent="0.35">
      <c r="A22" t="s">
        <v>356</v>
      </c>
    </row>
    <row r="23" spans="1:5" ht="43.5" x14ac:dyDescent="0.35">
      <c r="A23" s="12" t="s">
        <v>360</v>
      </c>
    </row>
    <row r="25" spans="1:5" x14ac:dyDescent="0.35">
      <c r="A25" t="s">
        <v>357</v>
      </c>
    </row>
    <row r="26" spans="1:5" ht="43.5" x14ac:dyDescent="0.35">
      <c r="A26" s="12" t="s">
        <v>361</v>
      </c>
    </row>
    <row r="27" spans="1:5" x14ac:dyDescent="0.35">
      <c r="A27" t="s">
        <v>358</v>
      </c>
    </row>
    <row r="28" spans="1:5" ht="58" x14ac:dyDescent="0.35">
      <c r="A28" s="12" t="s">
        <v>363</v>
      </c>
    </row>
    <row r="29" spans="1:5" x14ac:dyDescent="0.35">
      <c r="A29" t="s">
        <v>359</v>
      </c>
    </row>
    <row r="30" spans="1:5" ht="58" x14ac:dyDescent="0.35">
      <c r="A30" s="13" t="s">
        <v>362</v>
      </c>
    </row>
    <row r="33" spans="1:2" x14ac:dyDescent="0.35">
      <c r="A33" s="2" t="s">
        <v>364</v>
      </c>
    </row>
    <row r="34" spans="1:2" x14ac:dyDescent="0.35">
      <c r="A34" t="s">
        <v>365</v>
      </c>
    </row>
    <row r="35" spans="1:2" x14ac:dyDescent="0.35">
      <c r="A35" t="s">
        <v>0</v>
      </c>
      <c r="B35" t="s">
        <v>323</v>
      </c>
    </row>
    <row r="36" spans="1:2" x14ac:dyDescent="0.35">
      <c r="A36" t="s">
        <v>190</v>
      </c>
      <c r="B36">
        <v>2585</v>
      </c>
    </row>
    <row r="37" spans="1:2" x14ac:dyDescent="0.35">
      <c r="A37" t="s">
        <v>85</v>
      </c>
      <c r="B37">
        <v>2452</v>
      </c>
    </row>
    <row r="38" spans="1:2" x14ac:dyDescent="0.35">
      <c r="A38" t="s">
        <v>212</v>
      </c>
      <c r="B38">
        <v>2393</v>
      </c>
    </row>
    <row r="39" spans="1:2" x14ac:dyDescent="0.35">
      <c r="A39" t="s">
        <v>63</v>
      </c>
      <c r="B39">
        <v>1946</v>
      </c>
    </row>
    <row r="40" spans="1:2" x14ac:dyDescent="0.35">
      <c r="A40" t="s">
        <v>99</v>
      </c>
      <c r="B40">
        <v>1880</v>
      </c>
    </row>
    <row r="41" spans="1:2" x14ac:dyDescent="0.35">
      <c r="A41" t="s">
        <v>128</v>
      </c>
      <c r="B41">
        <v>1721</v>
      </c>
    </row>
    <row r="42" spans="1:2" x14ac:dyDescent="0.35">
      <c r="A42" t="s">
        <v>108</v>
      </c>
      <c r="B42">
        <v>1670</v>
      </c>
    </row>
    <row r="43" spans="1:2" x14ac:dyDescent="0.35">
      <c r="A43" t="s">
        <v>35</v>
      </c>
      <c r="B43">
        <v>1526</v>
      </c>
    </row>
    <row r="44" spans="1:2" x14ac:dyDescent="0.35">
      <c r="A44" t="s">
        <v>229</v>
      </c>
      <c r="B44">
        <v>1418</v>
      </c>
    </row>
    <row r="45" spans="1:2" x14ac:dyDescent="0.35">
      <c r="A45" t="s">
        <v>75</v>
      </c>
      <c r="B45">
        <v>1360</v>
      </c>
    </row>
    <row r="47" spans="1:2" x14ac:dyDescent="0.35">
      <c r="A47" s="2" t="s">
        <v>366</v>
      </c>
    </row>
    <row r="48" spans="1:2" x14ac:dyDescent="0.35">
      <c r="A48" t="s">
        <v>347</v>
      </c>
      <c r="B48" t="s">
        <v>346</v>
      </c>
    </row>
    <row r="49" spans="1:2" x14ac:dyDescent="0.35">
      <c r="A49" t="s">
        <v>122</v>
      </c>
      <c r="B49">
        <v>36</v>
      </c>
    </row>
    <row r="50" spans="1:2" x14ac:dyDescent="0.35">
      <c r="A50" t="s">
        <v>14</v>
      </c>
      <c r="B50">
        <v>24</v>
      </c>
    </row>
    <row r="51" spans="1:2" x14ac:dyDescent="0.35">
      <c r="A51" t="s">
        <v>89</v>
      </c>
      <c r="B51">
        <v>49</v>
      </c>
    </row>
    <row r="52" spans="1:2" x14ac:dyDescent="0.35">
      <c r="A52" t="s">
        <v>215</v>
      </c>
      <c r="B52">
        <v>17</v>
      </c>
    </row>
    <row r="53" spans="1:2" x14ac:dyDescent="0.35">
      <c r="A53" t="s">
        <v>111</v>
      </c>
      <c r="B53">
        <v>20</v>
      </c>
    </row>
    <row r="54" spans="1:2" x14ac:dyDescent="0.35">
      <c r="A54" t="s">
        <v>114</v>
      </c>
      <c r="B54">
        <v>32</v>
      </c>
    </row>
    <row r="55" spans="1:2" x14ac:dyDescent="0.35">
      <c r="A55" t="s">
        <v>97</v>
      </c>
      <c r="B55">
        <v>20</v>
      </c>
    </row>
    <row r="56" spans="1:2" x14ac:dyDescent="0.35">
      <c r="A56" t="s">
        <v>68</v>
      </c>
      <c r="B56">
        <v>44</v>
      </c>
    </row>
    <row r="57" spans="1:2" x14ac:dyDescent="0.35">
      <c r="A57" t="s">
        <v>30</v>
      </c>
      <c r="B57">
        <v>55</v>
      </c>
    </row>
    <row r="58" spans="1:2" x14ac:dyDescent="0.35">
      <c r="A58" t="s">
        <v>194</v>
      </c>
      <c r="B58">
        <v>69</v>
      </c>
    </row>
    <row r="59" spans="1:2" x14ac:dyDescent="0.35">
      <c r="A59" t="s">
        <v>44</v>
      </c>
      <c r="B59">
        <v>39</v>
      </c>
    </row>
    <row r="61" spans="1:2" x14ac:dyDescent="0.35">
      <c r="A61" s="2" t="s">
        <v>368</v>
      </c>
    </row>
    <row r="62" spans="1:2" x14ac:dyDescent="0.35">
      <c r="A62" t="s">
        <v>347</v>
      </c>
      <c r="B62" t="s">
        <v>369</v>
      </c>
    </row>
    <row r="63" spans="1:2" x14ac:dyDescent="0.35">
      <c r="A63" t="s">
        <v>60</v>
      </c>
      <c r="B63">
        <v>5</v>
      </c>
    </row>
    <row r="64" spans="1:2" x14ac:dyDescent="0.35">
      <c r="A64" t="s">
        <v>63</v>
      </c>
      <c r="B64">
        <v>5</v>
      </c>
    </row>
    <row r="65" spans="1:2" x14ac:dyDescent="0.35">
      <c r="A65" t="s">
        <v>295</v>
      </c>
      <c r="B65">
        <v>5</v>
      </c>
    </row>
    <row r="66" spans="1:2" x14ac:dyDescent="0.35">
      <c r="A66" t="s">
        <v>117</v>
      </c>
      <c r="B66">
        <v>5</v>
      </c>
    </row>
    <row r="67" spans="1:2" x14ac:dyDescent="0.35">
      <c r="A67" t="s">
        <v>120</v>
      </c>
      <c r="B67">
        <v>5</v>
      </c>
    </row>
    <row r="68" spans="1:2" x14ac:dyDescent="0.35">
      <c r="A68" s="2" t="s">
        <v>370</v>
      </c>
    </row>
    <row r="69" spans="1:2" x14ac:dyDescent="0.35">
      <c r="A69" t="s">
        <v>347</v>
      </c>
      <c r="B69" t="s">
        <v>369</v>
      </c>
    </row>
    <row r="70" spans="1:2" x14ac:dyDescent="0.35">
      <c r="A70" t="s">
        <v>318</v>
      </c>
      <c r="B70">
        <v>2</v>
      </c>
    </row>
    <row r="71" spans="1:2" x14ac:dyDescent="0.35">
      <c r="A71" t="s">
        <v>229</v>
      </c>
      <c r="B71">
        <v>2.1</v>
      </c>
    </row>
    <row r="72" spans="1:2" x14ac:dyDescent="0.35">
      <c r="A72" t="s">
        <v>206</v>
      </c>
      <c r="B72">
        <v>2.2000000000000002</v>
      </c>
    </row>
    <row r="73" spans="1:2" x14ac:dyDescent="0.35">
      <c r="A73" t="s">
        <v>227</v>
      </c>
      <c r="B73">
        <v>2.2000000000000002</v>
      </c>
    </row>
    <row r="74" spans="1:2" x14ac:dyDescent="0.35">
      <c r="A74" t="s">
        <v>190</v>
      </c>
      <c r="B74">
        <v>2.1</v>
      </c>
    </row>
    <row r="75" spans="1:2" x14ac:dyDescent="0.35">
      <c r="A75" t="s">
        <v>182</v>
      </c>
      <c r="B75">
        <v>2.5</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8CA19-031E-438F-A697-A9ED28C48659}">
  <dimension ref="A3:B26"/>
  <sheetViews>
    <sheetView workbookViewId="0">
      <selection activeCell="B15" sqref="B15"/>
    </sheetView>
  </sheetViews>
  <sheetFormatPr defaultRowHeight="14.5" x14ac:dyDescent="0.35"/>
  <cols>
    <col min="1" max="1" width="9.36328125" bestFit="1" customWidth="1"/>
    <col min="2" max="2" width="17.81640625" bestFit="1" customWidth="1"/>
    <col min="3" max="3" width="19.81640625" bestFit="1" customWidth="1"/>
    <col min="4" max="11" width="4" bestFit="1" customWidth="1"/>
    <col min="12" max="12" width="2" bestFit="1" customWidth="1"/>
    <col min="13" max="14" width="4" bestFit="1" customWidth="1"/>
    <col min="15" max="15" width="2" bestFit="1" customWidth="1"/>
    <col min="16" max="23" width="4" bestFit="1" customWidth="1"/>
    <col min="24" max="24" width="3" bestFit="1" customWidth="1"/>
  </cols>
  <sheetData>
    <row r="3" spans="1:2" x14ac:dyDescent="0.35">
      <c r="A3" s="5" t="s">
        <v>345</v>
      </c>
      <c r="B3" t="s">
        <v>346</v>
      </c>
    </row>
    <row r="4" spans="1:2" x14ac:dyDescent="0.35">
      <c r="A4">
        <v>0</v>
      </c>
      <c r="B4">
        <v>0</v>
      </c>
    </row>
    <row r="5" spans="1:2" x14ac:dyDescent="0.35">
      <c r="A5">
        <v>2</v>
      </c>
      <c r="B5">
        <v>1</v>
      </c>
    </row>
    <row r="6" spans="1:2" x14ac:dyDescent="0.35">
      <c r="A6">
        <v>2.1</v>
      </c>
      <c r="B6">
        <v>20</v>
      </c>
    </row>
    <row r="7" spans="1:2" x14ac:dyDescent="0.35">
      <c r="A7">
        <v>2.2000000000000002</v>
      </c>
      <c r="B7">
        <v>12</v>
      </c>
    </row>
    <row r="8" spans="1:2" x14ac:dyDescent="0.35">
      <c r="A8">
        <v>2.2999999999999998</v>
      </c>
      <c r="B8">
        <v>13</v>
      </c>
    </row>
    <row r="9" spans="1:2" x14ac:dyDescent="0.35">
      <c r="A9">
        <v>2.5</v>
      </c>
      <c r="B9">
        <v>6</v>
      </c>
    </row>
    <row r="10" spans="1:2" x14ac:dyDescent="0.35">
      <c r="A10">
        <v>2.6</v>
      </c>
      <c r="B10">
        <v>17</v>
      </c>
    </row>
    <row r="11" spans="1:2" x14ac:dyDescent="0.35">
      <c r="A11">
        <v>2.7</v>
      </c>
      <c r="B11">
        <v>15</v>
      </c>
    </row>
    <row r="12" spans="1:2" x14ac:dyDescent="0.35">
      <c r="A12">
        <v>2.8</v>
      </c>
      <c r="B12">
        <v>69</v>
      </c>
    </row>
    <row r="13" spans="1:2" x14ac:dyDescent="0.35">
      <c r="A13">
        <v>2.9</v>
      </c>
      <c r="B13">
        <v>16</v>
      </c>
    </row>
    <row r="14" spans="1:2" x14ac:dyDescent="0.35">
      <c r="A14">
        <v>3</v>
      </c>
      <c r="B14">
        <v>26</v>
      </c>
    </row>
    <row r="15" spans="1:2" x14ac:dyDescent="0.35">
      <c r="A15">
        <v>3.3</v>
      </c>
      <c r="B15">
        <v>13</v>
      </c>
    </row>
    <row r="16" spans="1:2" x14ac:dyDescent="0.35">
      <c r="A16">
        <v>3.8</v>
      </c>
      <c r="B16">
        <v>30</v>
      </c>
    </row>
    <row r="17" spans="1:2" x14ac:dyDescent="0.35">
      <c r="A17">
        <v>4</v>
      </c>
      <c r="B17">
        <v>24</v>
      </c>
    </row>
    <row r="18" spans="1:2" x14ac:dyDescent="0.35">
      <c r="A18">
        <v>4.0999999999999996</v>
      </c>
      <c r="B18">
        <v>46</v>
      </c>
    </row>
    <row r="19" spans="1:2" x14ac:dyDescent="0.35">
      <c r="A19">
        <v>4.2</v>
      </c>
      <c r="B19">
        <v>9</v>
      </c>
    </row>
    <row r="20" spans="1:2" x14ac:dyDescent="0.35">
      <c r="A20">
        <v>4.3</v>
      </c>
      <c r="B20">
        <v>61</v>
      </c>
    </row>
    <row r="21" spans="1:2" x14ac:dyDescent="0.35">
      <c r="A21">
        <v>4.4000000000000004</v>
      </c>
      <c r="B21">
        <v>14</v>
      </c>
    </row>
    <row r="22" spans="1:2" x14ac:dyDescent="0.35">
      <c r="A22">
        <v>4.5</v>
      </c>
      <c r="B22">
        <v>42</v>
      </c>
    </row>
    <row r="23" spans="1:2" x14ac:dyDescent="0.35">
      <c r="A23">
        <v>4.5999999999999996</v>
      </c>
      <c r="B23">
        <v>177</v>
      </c>
    </row>
    <row r="24" spans="1:2" x14ac:dyDescent="0.35">
      <c r="A24">
        <v>4.7</v>
      </c>
      <c r="B24">
        <v>78</v>
      </c>
    </row>
    <row r="25" spans="1:2" x14ac:dyDescent="0.35">
      <c r="A25">
        <v>4.8</v>
      </c>
      <c r="B25">
        <v>22</v>
      </c>
    </row>
    <row r="26" spans="1:2" x14ac:dyDescent="0.35">
      <c r="A26">
        <v>5</v>
      </c>
      <c r="B26">
        <v>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411B1-CD1F-406D-9EA6-A37EDAADA0FA}">
  <dimension ref="A1:B10"/>
  <sheetViews>
    <sheetView workbookViewId="0">
      <selection activeCell="B15" sqref="B15"/>
    </sheetView>
  </sheetViews>
  <sheetFormatPr defaultRowHeight="14.5" x14ac:dyDescent="0.35"/>
  <cols>
    <col min="1" max="1" width="64.26953125" bestFit="1" customWidth="1"/>
    <col min="2" max="2" width="16.08984375" bestFit="1" customWidth="1"/>
    <col min="3" max="4" width="14.54296875" bestFit="1" customWidth="1"/>
  </cols>
  <sheetData>
    <row r="1" spans="1:2" x14ac:dyDescent="0.35">
      <c r="A1" s="5" t="s">
        <v>345</v>
      </c>
      <c r="B1" t="s">
        <v>367</v>
      </c>
    </row>
    <row r="3" spans="1:2" x14ac:dyDescent="0.35">
      <c r="A3" s="5" t="s">
        <v>347</v>
      </c>
      <c r="B3" t="s">
        <v>369</v>
      </c>
    </row>
    <row r="4" spans="1:2" x14ac:dyDescent="0.35">
      <c r="A4" s="7" t="s">
        <v>318</v>
      </c>
      <c r="B4">
        <v>2</v>
      </c>
    </row>
    <row r="5" spans="1:2" x14ac:dyDescent="0.35">
      <c r="A5" s="7" t="s">
        <v>229</v>
      </c>
      <c r="B5">
        <v>2.1</v>
      </c>
    </row>
    <row r="6" spans="1:2" x14ac:dyDescent="0.35">
      <c r="A6" s="7" t="s">
        <v>206</v>
      </c>
      <c r="B6">
        <v>2.2000000000000002</v>
      </c>
    </row>
    <row r="7" spans="1:2" x14ac:dyDescent="0.35">
      <c r="A7" s="7" t="s">
        <v>227</v>
      </c>
      <c r="B7">
        <v>2.2000000000000002</v>
      </c>
    </row>
    <row r="8" spans="1:2" x14ac:dyDescent="0.35">
      <c r="A8" s="7" t="s">
        <v>190</v>
      </c>
      <c r="B8">
        <v>2.1</v>
      </c>
    </row>
    <row r="9" spans="1:2" x14ac:dyDescent="0.35">
      <c r="A9" s="7" t="s">
        <v>182</v>
      </c>
      <c r="B9">
        <v>2.5</v>
      </c>
    </row>
    <row r="10" spans="1:2" x14ac:dyDescent="0.35">
      <c r="A10" s="7" t="s">
        <v>348</v>
      </c>
      <c r="B10">
        <v>106.72200000000004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278D4-496A-422B-B132-2F8E0BF04B6B}">
  <dimension ref="A3:B113"/>
  <sheetViews>
    <sheetView workbookViewId="0">
      <selection activeCell="B15" sqref="B15"/>
    </sheetView>
  </sheetViews>
  <sheetFormatPr defaultRowHeight="14.5" x14ac:dyDescent="0.35"/>
  <cols>
    <col min="1" max="1" width="86.1796875" bestFit="1" customWidth="1"/>
    <col min="2" max="2" width="13.36328125" bestFit="1" customWidth="1"/>
  </cols>
  <sheetData>
    <row r="3" spans="1:2" x14ac:dyDescent="0.35">
      <c r="A3" s="5" t="s">
        <v>347</v>
      </c>
      <c r="B3" t="s">
        <v>349</v>
      </c>
    </row>
    <row r="4" spans="1:2" x14ac:dyDescent="0.35">
      <c r="A4" s="7" t="s">
        <v>125</v>
      </c>
      <c r="B4">
        <v>4.5</v>
      </c>
    </row>
    <row r="5" spans="1:2" x14ac:dyDescent="0.35">
      <c r="A5" s="7" t="s">
        <v>44</v>
      </c>
      <c r="B5">
        <v>4.7</v>
      </c>
    </row>
    <row r="6" spans="1:2" x14ac:dyDescent="0.35">
      <c r="A6" s="7" t="s">
        <v>6</v>
      </c>
      <c r="B6">
        <v>4.5</v>
      </c>
    </row>
    <row r="7" spans="1:2" x14ac:dyDescent="0.35">
      <c r="A7" s="7" t="s">
        <v>95</v>
      </c>
      <c r="B7">
        <v>3.8</v>
      </c>
    </row>
    <row r="8" spans="1:2" x14ac:dyDescent="0.35">
      <c r="A8" s="7" t="s">
        <v>105</v>
      </c>
      <c r="B8">
        <v>4.7</v>
      </c>
    </row>
    <row r="9" spans="1:2" x14ac:dyDescent="0.35">
      <c r="A9" s="7" t="s">
        <v>194</v>
      </c>
      <c r="B9">
        <v>2.8</v>
      </c>
    </row>
    <row r="10" spans="1:2" x14ac:dyDescent="0.35">
      <c r="A10" s="7" t="s">
        <v>177</v>
      </c>
      <c r="B10">
        <v>0</v>
      </c>
    </row>
    <row r="11" spans="1:2" x14ac:dyDescent="0.35">
      <c r="A11" s="7" t="s">
        <v>38</v>
      </c>
      <c r="B11">
        <v>3.8</v>
      </c>
    </row>
    <row r="12" spans="1:2" x14ac:dyDescent="0.35">
      <c r="A12" s="7" t="s">
        <v>30</v>
      </c>
      <c r="B12">
        <v>4.5999999999999996</v>
      </c>
    </row>
    <row r="13" spans="1:2" x14ac:dyDescent="0.35">
      <c r="A13" s="7" t="s">
        <v>304</v>
      </c>
      <c r="B13">
        <v>0</v>
      </c>
    </row>
    <row r="14" spans="1:2" x14ac:dyDescent="0.35">
      <c r="A14" s="7" t="s">
        <v>251</v>
      </c>
      <c r="B14">
        <v>0</v>
      </c>
    </row>
    <row r="15" spans="1:2" x14ac:dyDescent="0.35">
      <c r="A15" s="7" t="s">
        <v>26</v>
      </c>
      <c r="B15">
        <v>4</v>
      </c>
    </row>
    <row r="16" spans="1:2" x14ac:dyDescent="0.35">
      <c r="A16" s="7" t="s">
        <v>301</v>
      </c>
      <c r="B16">
        <v>0</v>
      </c>
    </row>
    <row r="17" spans="1:2" x14ac:dyDescent="0.35">
      <c r="A17" s="7" t="s">
        <v>278</v>
      </c>
      <c r="B17">
        <v>0</v>
      </c>
    </row>
    <row r="18" spans="1:2" x14ac:dyDescent="0.35">
      <c r="A18" s="7" t="s">
        <v>151</v>
      </c>
      <c r="B18">
        <v>0</v>
      </c>
    </row>
    <row r="19" spans="1:2" x14ac:dyDescent="0.35">
      <c r="A19" s="7" t="s">
        <v>232</v>
      </c>
      <c r="B19">
        <v>0</v>
      </c>
    </row>
    <row r="20" spans="1:2" x14ac:dyDescent="0.35">
      <c r="A20" s="7" t="s">
        <v>212</v>
      </c>
      <c r="B20">
        <v>3</v>
      </c>
    </row>
    <row r="21" spans="1:2" x14ac:dyDescent="0.35">
      <c r="A21" s="7" t="s">
        <v>209</v>
      </c>
      <c r="B21">
        <v>2.2999999999999998</v>
      </c>
    </row>
    <row r="22" spans="1:2" x14ac:dyDescent="0.35">
      <c r="A22" s="7" t="s">
        <v>68</v>
      </c>
      <c r="B22">
        <v>4.5999999999999996</v>
      </c>
    </row>
    <row r="23" spans="1:2" x14ac:dyDescent="0.35">
      <c r="A23" s="7" t="s">
        <v>235</v>
      </c>
      <c r="B23">
        <v>0</v>
      </c>
    </row>
    <row r="24" spans="1:2" x14ac:dyDescent="0.35">
      <c r="A24" s="7" t="s">
        <v>71</v>
      </c>
      <c r="B24">
        <v>3.3</v>
      </c>
    </row>
    <row r="25" spans="1:2" x14ac:dyDescent="0.35">
      <c r="A25" s="7" t="s">
        <v>284</v>
      </c>
      <c r="B25">
        <v>0</v>
      </c>
    </row>
    <row r="26" spans="1:2" x14ac:dyDescent="0.35">
      <c r="A26" s="7" t="s">
        <v>47</v>
      </c>
      <c r="B26">
        <v>4.8</v>
      </c>
    </row>
    <row r="27" spans="1:2" x14ac:dyDescent="0.35">
      <c r="A27" s="7" t="s">
        <v>131</v>
      </c>
      <c r="B27">
        <v>0</v>
      </c>
    </row>
    <row r="28" spans="1:2" x14ac:dyDescent="0.35">
      <c r="A28" s="7" t="s">
        <v>75</v>
      </c>
      <c r="B28">
        <v>0</v>
      </c>
    </row>
    <row r="29" spans="1:2" x14ac:dyDescent="0.35">
      <c r="A29" s="7" t="s">
        <v>182</v>
      </c>
      <c r="B29">
        <v>2.5</v>
      </c>
    </row>
    <row r="30" spans="1:2" x14ac:dyDescent="0.35">
      <c r="A30" s="7" t="s">
        <v>97</v>
      </c>
      <c r="B30">
        <v>4.0999999999999996</v>
      </c>
    </row>
    <row r="31" spans="1:2" x14ac:dyDescent="0.35">
      <c r="A31" s="7" t="s">
        <v>114</v>
      </c>
      <c r="B31">
        <v>4.5</v>
      </c>
    </row>
    <row r="32" spans="1:2" x14ac:dyDescent="0.35">
      <c r="A32" s="7" t="s">
        <v>111</v>
      </c>
      <c r="B32">
        <v>4.7</v>
      </c>
    </row>
    <row r="33" spans="1:2" x14ac:dyDescent="0.35">
      <c r="A33" s="7" t="s">
        <v>248</v>
      </c>
      <c r="B33">
        <v>0</v>
      </c>
    </row>
    <row r="34" spans="1:2" x14ac:dyDescent="0.35">
      <c r="A34" s="7" t="s">
        <v>190</v>
      </c>
      <c r="B34">
        <v>2.1</v>
      </c>
    </row>
    <row r="35" spans="1:2" x14ac:dyDescent="0.35">
      <c r="A35" s="7" t="s">
        <v>316</v>
      </c>
      <c r="B35">
        <v>0</v>
      </c>
    </row>
    <row r="36" spans="1:2" x14ac:dyDescent="0.35">
      <c r="A36" s="7" t="s">
        <v>277</v>
      </c>
      <c r="B36">
        <v>0</v>
      </c>
    </row>
    <row r="37" spans="1:2" x14ac:dyDescent="0.35">
      <c r="A37" s="7" t="s">
        <v>145</v>
      </c>
      <c r="B37">
        <v>0</v>
      </c>
    </row>
    <row r="38" spans="1:2" x14ac:dyDescent="0.35">
      <c r="A38" s="7" t="s">
        <v>240</v>
      </c>
      <c r="B38">
        <v>0</v>
      </c>
    </row>
    <row r="39" spans="1:2" x14ac:dyDescent="0.35">
      <c r="A39" s="7" t="s">
        <v>227</v>
      </c>
      <c r="B39">
        <v>2.2000000000000002</v>
      </c>
    </row>
    <row r="40" spans="1:2" x14ac:dyDescent="0.35">
      <c r="A40" s="7" t="s">
        <v>292</v>
      </c>
      <c r="B40">
        <v>0</v>
      </c>
    </row>
    <row r="41" spans="1:2" x14ac:dyDescent="0.35">
      <c r="A41" s="7" t="s">
        <v>298</v>
      </c>
      <c r="B41">
        <v>0</v>
      </c>
    </row>
    <row r="42" spans="1:2" x14ac:dyDescent="0.35">
      <c r="A42" s="7" t="s">
        <v>215</v>
      </c>
      <c r="B42">
        <v>2.6</v>
      </c>
    </row>
    <row r="43" spans="1:2" x14ac:dyDescent="0.35">
      <c r="A43" s="7" t="s">
        <v>175</v>
      </c>
      <c r="B43">
        <v>0</v>
      </c>
    </row>
    <row r="44" spans="1:2" x14ac:dyDescent="0.35">
      <c r="A44" s="7" t="s">
        <v>56</v>
      </c>
      <c r="B44">
        <v>5</v>
      </c>
    </row>
    <row r="45" spans="1:2" x14ac:dyDescent="0.35">
      <c r="A45" s="7" t="s">
        <v>206</v>
      </c>
      <c r="B45">
        <v>2.2000000000000002</v>
      </c>
    </row>
    <row r="46" spans="1:2" x14ac:dyDescent="0.35">
      <c r="A46" s="7" t="s">
        <v>289</v>
      </c>
      <c r="B46">
        <v>0</v>
      </c>
    </row>
    <row r="47" spans="1:2" x14ac:dyDescent="0.35">
      <c r="A47" s="7" t="s">
        <v>137</v>
      </c>
      <c r="B47">
        <v>0</v>
      </c>
    </row>
    <row r="48" spans="1:2" x14ac:dyDescent="0.35">
      <c r="A48" s="7" t="s">
        <v>245</v>
      </c>
      <c r="B48">
        <v>5</v>
      </c>
    </row>
    <row r="49" spans="1:2" x14ac:dyDescent="0.35">
      <c r="A49" s="7" t="s">
        <v>320</v>
      </c>
      <c r="B49">
        <v>0</v>
      </c>
    </row>
    <row r="50" spans="1:2" x14ac:dyDescent="0.35">
      <c r="A50" s="7" t="s">
        <v>157</v>
      </c>
      <c r="B50">
        <v>0</v>
      </c>
    </row>
    <row r="51" spans="1:2" x14ac:dyDescent="0.35">
      <c r="A51" s="7" t="s">
        <v>148</v>
      </c>
      <c r="B51">
        <v>0</v>
      </c>
    </row>
    <row r="52" spans="1:2" x14ac:dyDescent="0.35">
      <c r="A52" s="7" t="s">
        <v>258</v>
      </c>
      <c r="B52">
        <v>0</v>
      </c>
    </row>
    <row r="53" spans="1:2" x14ac:dyDescent="0.35">
      <c r="A53" s="7" t="s">
        <v>310</v>
      </c>
      <c r="B53">
        <v>0</v>
      </c>
    </row>
    <row r="54" spans="1:2" x14ac:dyDescent="0.35">
      <c r="A54" s="7" t="s">
        <v>143</v>
      </c>
      <c r="B54">
        <v>0</v>
      </c>
    </row>
    <row r="55" spans="1:2" x14ac:dyDescent="0.35">
      <c r="A55" s="7" t="s">
        <v>173</v>
      </c>
      <c r="B55">
        <v>0</v>
      </c>
    </row>
    <row r="56" spans="1:2" x14ac:dyDescent="0.35">
      <c r="A56" s="7" t="s">
        <v>120</v>
      </c>
      <c r="B56">
        <v>5</v>
      </c>
    </row>
    <row r="57" spans="1:2" x14ac:dyDescent="0.35">
      <c r="A57" s="7" t="s">
        <v>154</v>
      </c>
      <c r="B57">
        <v>0</v>
      </c>
    </row>
    <row r="58" spans="1:2" x14ac:dyDescent="0.35">
      <c r="A58" s="7" t="s">
        <v>237</v>
      </c>
      <c r="B58">
        <v>0</v>
      </c>
    </row>
    <row r="59" spans="1:2" x14ac:dyDescent="0.35">
      <c r="A59" s="7" t="s">
        <v>168</v>
      </c>
      <c r="B59">
        <v>0</v>
      </c>
    </row>
    <row r="60" spans="1:2" x14ac:dyDescent="0.35">
      <c r="A60" s="7" t="s">
        <v>33</v>
      </c>
      <c r="B60">
        <v>4</v>
      </c>
    </row>
    <row r="61" spans="1:2" x14ac:dyDescent="0.35">
      <c r="A61" s="7" t="s">
        <v>117</v>
      </c>
      <c r="B61">
        <v>5</v>
      </c>
    </row>
    <row r="62" spans="1:2" x14ac:dyDescent="0.35">
      <c r="A62" s="7" t="s">
        <v>229</v>
      </c>
      <c r="B62">
        <v>2.1</v>
      </c>
    </row>
    <row r="63" spans="1:2" x14ac:dyDescent="0.35">
      <c r="A63" s="7" t="s">
        <v>89</v>
      </c>
      <c r="B63">
        <v>4.5999999999999996</v>
      </c>
    </row>
    <row r="64" spans="1:2" x14ac:dyDescent="0.35">
      <c r="A64" s="7" t="s">
        <v>102</v>
      </c>
      <c r="B64">
        <v>4.3</v>
      </c>
    </row>
    <row r="65" spans="1:2" x14ac:dyDescent="0.35">
      <c r="A65" s="7" t="s">
        <v>81</v>
      </c>
      <c r="B65">
        <v>4.4000000000000004</v>
      </c>
    </row>
    <row r="66" spans="1:2" x14ac:dyDescent="0.35">
      <c r="A66" s="7" t="s">
        <v>42</v>
      </c>
      <c r="B66">
        <v>4.0999999999999996</v>
      </c>
    </row>
    <row r="67" spans="1:2" x14ac:dyDescent="0.35">
      <c r="A67" s="7" t="s">
        <v>253</v>
      </c>
      <c r="B67">
        <v>4</v>
      </c>
    </row>
    <row r="68" spans="1:2" x14ac:dyDescent="0.35">
      <c r="A68" s="7" t="s">
        <v>198</v>
      </c>
      <c r="B68">
        <v>2.7</v>
      </c>
    </row>
    <row r="69" spans="1:2" x14ac:dyDescent="0.35">
      <c r="A69" s="7" t="s">
        <v>295</v>
      </c>
      <c r="B69">
        <v>5</v>
      </c>
    </row>
    <row r="70" spans="1:2" x14ac:dyDescent="0.35">
      <c r="A70" s="7" t="s">
        <v>218</v>
      </c>
      <c r="B70">
        <v>3</v>
      </c>
    </row>
    <row r="71" spans="1:2" x14ac:dyDescent="0.35">
      <c r="A71" s="7" t="s">
        <v>85</v>
      </c>
      <c r="B71">
        <v>4.3</v>
      </c>
    </row>
    <row r="72" spans="1:2" x14ac:dyDescent="0.35">
      <c r="A72" s="7" t="s">
        <v>63</v>
      </c>
      <c r="B72">
        <v>5</v>
      </c>
    </row>
    <row r="73" spans="1:2" x14ac:dyDescent="0.35">
      <c r="A73" s="7" t="s">
        <v>50</v>
      </c>
      <c r="B73">
        <v>4.5</v>
      </c>
    </row>
    <row r="74" spans="1:2" x14ac:dyDescent="0.35">
      <c r="A74" s="7" t="s">
        <v>35</v>
      </c>
      <c r="B74">
        <v>4.8</v>
      </c>
    </row>
    <row r="75" spans="1:2" x14ac:dyDescent="0.35">
      <c r="A75" s="7" t="s">
        <v>128</v>
      </c>
      <c r="B75">
        <v>0</v>
      </c>
    </row>
    <row r="76" spans="1:2" x14ac:dyDescent="0.35">
      <c r="A76" s="7" t="s">
        <v>108</v>
      </c>
      <c r="B76">
        <v>4.3</v>
      </c>
    </row>
    <row r="77" spans="1:2" x14ac:dyDescent="0.35">
      <c r="A77" s="7" t="s">
        <v>78</v>
      </c>
      <c r="B77">
        <v>4</v>
      </c>
    </row>
    <row r="78" spans="1:2" x14ac:dyDescent="0.35">
      <c r="A78" s="7" t="s">
        <v>307</v>
      </c>
      <c r="B78">
        <v>0</v>
      </c>
    </row>
    <row r="79" spans="1:2" x14ac:dyDescent="0.35">
      <c r="A79" s="7" t="s">
        <v>66</v>
      </c>
      <c r="B79">
        <v>4.5999999999999996</v>
      </c>
    </row>
    <row r="80" spans="1:2" x14ac:dyDescent="0.35">
      <c r="A80" s="7" t="s">
        <v>243</v>
      </c>
      <c r="B80">
        <v>3</v>
      </c>
    </row>
    <row r="81" spans="1:2" x14ac:dyDescent="0.35">
      <c r="A81" s="7" t="s">
        <v>10</v>
      </c>
      <c r="B81">
        <v>4.0999999999999996</v>
      </c>
    </row>
    <row r="82" spans="1:2" x14ac:dyDescent="0.35">
      <c r="A82" s="7" t="s">
        <v>287</v>
      </c>
      <c r="B82">
        <v>0</v>
      </c>
    </row>
    <row r="83" spans="1:2" x14ac:dyDescent="0.35">
      <c r="A83" s="7" t="s">
        <v>134</v>
      </c>
      <c r="B83">
        <v>0</v>
      </c>
    </row>
    <row r="84" spans="1:2" x14ac:dyDescent="0.35">
      <c r="A84" s="7" t="s">
        <v>53</v>
      </c>
      <c r="B84">
        <v>4.2</v>
      </c>
    </row>
    <row r="85" spans="1:2" x14ac:dyDescent="0.35">
      <c r="A85" s="7" t="s">
        <v>266</v>
      </c>
      <c r="B85">
        <v>0</v>
      </c>
    </row>
    <row r="86" spans="1:2" x14ac:dyDescent="0.35">
      <c r="A86" s="7" t="s">
        <v>99</v>
      </c>
      <c r="B86">
        <v>0</v>
      </c>
    </row>
    <row r="87" spans="1:2" x14ac:dyDescent="0.35">
      <c r="A87" s="7" t="s">
        <v>165</v>
      </c>
      <c r="B87">
        <v>0</v>
      </c>
    </row>
    <row r="88" spans="1:2" x14ac:dyDescent="0.35">
      <c r="A88" s="7" t="s">
        <v>186</v>
      </c>
      <c r="B88">
        <v>3</v>
      </c>
    </row>
    <row r="89" spans="1:2" x14ac:dyDescent="0.35">
      <c r="A89" s="7" t="s">
        <v>256</v>
      </c>
      <c r="B89">
        <v>0</v>
      </c>
    </row>
    <row r="90" spans="1:2" x14ac:dyDescent="0.35">
      <c r="A90" s="7" t="s">
        <v>261</v>
      </c>
      <c r="B90">
        <v>0</v>
      </c>
    </row>
    <row r="91" spans="1:2" x14ac:dyDescent="0.35">
      <c r="A91" s="7" t="s">
        <v>60</v>
      </c>
      <c r="B91">
        <v>5</v>
      </c>
    </row>
    <row r="92" spans="1:2" x14ac:dyDescent="0.35">
      <c r="A92" s="7" t="s">
        <v>160</v>
      </c>
      <c r="B92">
        <v>0</v>
      </c>
    </row>
    <row r="93" spans="1:2" x14ac:dyDescent="0.35">
      <c r="A93" s="7" t="s">
        <v>163</v>
      </c>
      <c r="B93">
        <v>0</v>
      </c>
    </row>
    <row r="94" spans="1:2" x14ac:dyDescent="0.35">
      <c r="A94" s="7" t="s">
        <v>22</v>
      </c>
      <c r="B94">
        <v>4.8</v>
      </c>
    </row>
    <row r="95" spans="1:2" x14ac:dyDescent="0.35">
      <c r="A95" s="7" t="s">
        <v>14</v>
      </c>
      <c r="B95">
        <v>4.5999999999999996</v>
      </c>
    </row>
    <row r="96" spans="1:2" x14ac:dyDescent="0.35">
      <c r="A96" s="7" t="s">
        <v>282</v>
      </c>
      <c r="B96">
        <v>0</v>
      </c>
    </row>
    <row r="97" spans="1:2" x14ac:dyDescent="0.35">
      <c r="A97" s="7" t="s">
        <v>92</v>
      </c>
      <c r="B97">
        <v>3.8</v>
      </c>
    </row>
    <row r="98" spans="1:2" x14ac:dyDescent="0.35">
      <c r="A98" s="7" t="s">
        <v>272</v>
      </c>
      <c r="B98">
        <v>0</v>
      </c>
    </row>
    <row r="99" spans="1:2" x14ac:dyDescent="0.35">
      <c r="A99" s="7" t="s">
        <v>122</v>
      </c>
      <c r="B99">
        <v>4.3</v>
      </c>
    </row>
    <row r="100" spans="1:2" x14ac:dyDescent="0.35">
      <c r="A100" s="7" t="s">
        <v>274</v>
      </c>
      <c r="B100">
        <v>0</v>
      </c>
    </row>
    <row r="101" spans="1:2" x14ac:dyDescent="0.35">
      <c r="A101" s="7" t="s">
        <v>140</v>
      </c>
      <c r="B101">
        <v>0</v>
      </c>
    </row>
    <row r="102" spans="1:2" x14ac:dyDescent="0.35">
      <c r="A102" s="7" t="s">
        <v>312</v>
      </c>
      <c r="B102">
        <v>0</v>
      </c>
    </row>
    <row r="103" spans="1:2" x14ac:dyDescent="0.35">
      <c r="A103" s="7" t="s">
        <v>170</v>
      </c>
      <c r="B103">
        <v>0</v>
      </c>
    </row>
    <row r="104" spans="1:2" x14ac:dyDescent="0.35">
      <c r="A104" s="7" t="s">
        <v>314</v>
      </c>
      <c r="B104">
        <v>0</v>
      </c>
    </row>
    <row r="105" spans="1:2" x14ac:dyDescent="0.35">
      <c r="A105" s="7" t="s">
        <v>202</v>
      </c>
      <c r="B105">
        <v>2.9</v>
      </c>
    </row>
    <row r="106" spans="1:2" x14ac:dyDescent="0.35">
      <c r="A106" s="7" t="s">
        <v>269</v>
      </c>
      <c r="B106">
        <v>0</v>
      </c>
    </row>
    <row r="107" spans="1:2" x14ac:dyDescent="0.35">
      <c r="A107" s="7" t="s">
        <v>280</v>
      </c>
      <c r="B107">
        <v>0</v>
      </c>
    </row>
    <row r="108" spans="1:2" x14ac:dyDescent="0.35">
      <c r="A108" s="7" t="s">
        <v>318</v>
      </c>
      <c r="B108">
        <v>2</v>
      </c>
    </row>
    <row r="109" spans="1:2" x14ac:dyDescent="0.35">
      <c r="A109" s="7" t="s">
        <v>264</v>
      </c>
      <c r="B109">
        <v>0</v>
      </c>
    </row>
    <row r="110" spans="1:2" x14ac:dyDescent="0.35">
      <c r="A110" s="7" t="s">
        <v>221</v>
      </c>
      <c r="B110">
        <v>2.2999999999999998</v>
      </c>
    </row>
    <row r="111" spans="1:2" x14ac:dyDescent="0.35">
      <c r="A111" s="7" t="s">
        <v>18</v>
      </c>
      <c r="B111">
        <v>4.7</v>
      </c>
    </row>
    <row r="112" spans="1:2" x14ac:dyDescent="0.35">
      <c r="A112" s="7" t="s">
        <v>224</v>
      </c>
      <c r="B112">
        <v>3</v>
      </c>
    </row>
    <row r="113" spans="1:2" x14ac:dyDescent="0.35">
      <c r="A113" s="7" t="s">
        <v>348</v>
      </c>
      <c r="B113">
        <v>221.70000000000002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94240-D8EB-446E-AA9A-88146B4BCA22}">
  <dimension ref="A3:B51"/>
  <sheetViews>
    <sheetView topLeftCell="A46" workbookViewId="0">
      <selection activeCell="B15" sqref="B15"/>
    </sheetView>
  </sheetViews>
  <sheetFormatPr defaultRowHeight="14.5" x14ac:dyDescent="0.35"/>
  <cols>
    <col min="1" max="1" width="15" bestFit="1" customWidth="1"/>
    <col min="2" max="2" width="14.90625" bestFit="1" customWidth="1"/>
    <col min="3" max="4" width="19.81640625" bestFit="1" customWidth="1"/>
  </cols>
  <sheetData>
    <row r="3" spans="1:2" x14ac:dyDescent="0.35">
      <c r="A3" s="5" t="s">
        <v>347</v>
      </c>
      <c r="B3" t="s">
        <v>349</v>
      </c>
    </row>
    <row r="4" spans="1:2" x14ac:dyDescent="0.35">
      <c r="A4" s="7" t="s">
        <v>352</v>
      </c>
      <c r="B4">
        <v>108.39999999999995</v>
      </c>
    </row>
    <row r="5" spans="1:2" x14ac:dyDescent="0.35">
      <c r="A5" s="7" t="s">
        <v>353</v>
      </c>
      <c r="B5">
        <v>14.899999999999999</v>
      </c>
    </row>
    <row r="6" spans="1:2" x14ac:dyDescent="0.35">
      <c r="A6" s="7" t="s">
        <v>354</v>
      </c>
      <c r="B6">
        <v>98.399999999999991</v>
      </c>
    </row>
    <row r="7" spans="1:2" x14ac:dyDescent="0.35">
      <c r="A7" s="7" t="s">
        <v>348</v>
      </c>
      <c r="B7">
        <v>221.69999999999993</v>
      </c>
    </row>
    <row r="18" spans="1:2" x14ac:dyDescent="0.35">
      <c r="A18" s="5" t="s">
        <v>347</v>
      </c>
      <c r="B18" t="s">
        <v>346</v>
      </c>
    </row>
    <row r="19" spans="1:2" x14ac:dyDescent="0.35">
      <c r="A19" s="7" t="s">
        <v>331</v>
      </c>
      <c r="B19">
        <v>3</v>
      </c>
    </row>
    <row r="20" spans="1:2" x14ac:dyDescent="0.35">
      <c r="A20" s="7" t="s">
        <v>343</v>
      </c>
      <c r="B20">
        <v>702</v>
      </c>
    </row>
    <row r="21" spans="1:2" x14ac:dyDescent="0.35">
      <c r="A21" s="7" t="s">
        <v>350</v>
      </c>
      <c r="B21">
        <v>18</v>
      </c>
    </row>
    <row r="22" spans="1:2" x14ac:dyDescent="0.35">
      <c r="A22" s="7" t="s">
        <v>348</v>
      </c>
      <c r="B22">
        <v>723</v>
      </c>
    </row>
    <row r="31" spans="1:2" x14ac:dyDescent="0.35">
      <c r="A31" s="5" t="s">
        <v>347</v>
      </c>
      <c r="B31" t="s">
        <v>351</v>
      </c>
    </row>
    <row r="32" spans="1:2" x14ac:dyDescent="0.35">
      <c r="A32" s="7" t="s">
        <v>331</v>
      </c>
      <c r="B32">
        <v>1</v>
      </c>
    </row>
    <row r="33" spans="1:2" x14ac:dyDescent="0.35">
      <c r="A33" s="7" t="s">
        <v>343</v>
      </c>
      <c r="B33">
        <v>44</v>
      </c>
    </row>
    <row r="34" spans="1:2" x14ac:dyDescent="0.35">
      <c r="A34" s="7" t="s">
        <v>350</v>
      </c>
      <c r="B34">
        <v>64</v>
      </c>
    </row>
    <row r="35" spans="1:2" x14ac:dyDescent="0.35">
      <c r="A35" s="7" t="s">
        <v>348</v>
      </c>
      <c r="B35">
        <v>109</v>
      </c>
    </row>
    <row r="47" spans="1:2" x14ac:dyDescent="0.35">
      <c r="A47" s="5" t="s">
        <v>347</v>
      </c>
      <c r="B47" t="s">
        <v>351</v>
      </c>
    </row>
    <row r="48" spans="1:2" x14ac:dyDescent="0.35">
      <c r="A48" s="7" t="s">
        <v>352</v>
      </c>
      <c r="B48">
        <v>59</v>
      </c>
    </row>
    <row r="49" spans="1:2" x14ac:dyDescent="0.35">
      <c r="A49" s="7" t="s">
        <v>353</v>
      </c>
      <c r="B49">
        <v>18</v>
      </c>
    </row>
    <row r="50" spans="1:2" x14ac:dyDescent="0.35">
      <c r="A50" s="7" t="s">
        <v>354</v>
      </c>
      <c r="B50">
        <v>32</v>
      </c>
    </row>
    <row r="51" spans="1:2" x14ac:dyDescent="0.35">
      <c r="A51" s="7" t="s">
        <v>348</v>
      </c>
      <c r="B51">
        <v>109</v>
      </c>
    </row>
  </sheetData>
  <pageMargins left="0.7" right="0.7" top="0.75" bottom="0.75" header="0.3" footer="0.3"/>
  <drawing r:id="rId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9D025-0542-47BC-824F-6CDC412A5F88}">
  <dimension ref="A1:I110"/>
  <sheetViews>
    <sheetView topLeftCell="A98" workbookViewId="0">
      <selection activeCell="B15" sqref="B15"/>
    </sheetView>
  </sheetViews>
  <sheetFormatPr defaultRowHeight="14.5" x14ac:dyDescent="0.35"/>
  <cols>
    <col min="1" max="1" width="64.1796875" customWidth="1"/>
    <col min="2" max="2" width="15.1796875" style="4" customWidth="1"/>
    <col min="3" max="3" width="18.1796875" style="4" customWidth="1"/>
    <col min="4" max="4" width="16.26953125" customWidth="1"/>
    <col min="5" max="5" width="13.26953125" customWidth="1"/>
    <col min="6" max="6" width="15" customWidth="1"/>
    <col min="7" max="7" width="11" style="4" bestFit="1" customWidth="1"/>
    <col min="8" max="8" width="17" customWidth="1"/>
    <col min="9" max="9" width="19.81640625" customWidth="1"/>
  </cols>
  <sheetData>
    <row r="1" spans="1:9" x14ac:dyDescent="0.35">
      <c r="A1" s="2" t="s">
        <v>0</v>
      </c>
      <c r="B1" t="s">
        <v>1</v>
      </c>
      <c r="C1" t="s">
        <v>2</v>
      </c>
      <c r="D1" s="2" t="s">
        <v>323</v>
      </c>
      <c r="E1" s="2" t="s">
        <v>334</v>
      </c>
      <c r="F1" s="2" t="s">
        <v>344</v>
      </c>
      <c r="G1" s="3" t="s">
        <v>345</v>
      </c>
      <c r="H1" s="2" t="s">
        <v>324</v>
      </c>
      <c r="I1" s="2" t="s">
        <v>325</v>
      </c>
    </row>
    <row r="2" spans="1:9" x14ac:dyDescent="0.35">
      <c r="A2" t="s">
        <v>190</v>
      </c>
      <c r="B2" s="4">
        <v>2115</v>
      </c>
      <c r="C2" s="4">
        <v>4700</v>
      </c>
      <c r="D2" s="4">
        <f t="shared" ref="D2:D33" si="0">C2-B2</f>
        <v>2585</v>
      </c>
      <c r="E2" s="1">
        <v>0.55000000000000004</v>
      </c>
      <c r="F2">
        <v>13</v>
      </c>
      <c r="G2" s="4">
        <v>2.1</v>
      </c>
      <c r="H2" t="str">
        <f t="shared" ref="H2:H33" si="1">IF(F2&lt;3,"poor",IF(F2&lt;=4.4,"Average",IF(F2&gt;=4.5,"Excellent")))</f>
        <v>Excellent</v>
      </c>
      <c r="I2" t="str">
        <f t="shared" ref="I2:I33" si="2">IF(E2&lt;20%,"Low Discount",IF(E2&lt;=40%,"Medium Discount",IF(E2&gt;40%,"High Discount")))</f>
        <v>High Discount</v>
      </c>
    </row>
    <row r="3" spans="1:9" x14ac:dyDescent="0.35">
      <c r="A3" t="s">
        <v>85</v>
      </c>
      <c r="B3" s="4">
        <v>2048</v>
      </c>
      <c r="C3" s="4">
        <v>4500</v>
      </c>
      <c r="D3" s="4">
        <f t="shared" si="0"/>
        <v>2452</v>
      </c>
      <c r="E3" s="1">
        <v>0.54</v>
      </c>
      <c r="F3">
        <v>7</v>
      </c>
      <c r="G3" s="4">
        <v>4.3</v>
      </c>
      <c r="H3" t="str">
        <f t="shared" si="1"/>
        <v>Excellent</v>
      </c>
      <c r="I3" t="str">
        <f t="shared" si="2"/>
        <v>High Discount</v>
      </c>
    </row>
    <row r="4" spans="1:9" x14ac:dyDescent="0.35">
      <c r="A4" t="s">
        <v>212</v>
      </c>
      <c r="B4" s="4">
        <v>3750</v>
      </c>
      <c r="C4" s="4">
        <v>6143</v>
      </c>
      <c r="D4" s="4">
        <f t="shared" si="0"/>
        <v>2393</v>
      </c>
      <c r="E4" s="1">
        <v>0.39</v>
      </c>
      <c r="F4">
        <v>5</v>
      </c>
      <c r="G4" s="4">
        <v>3</v>
      </c>
      <c r="H4" t="str">
        <f t="shared" si="1"/>
        <v>Excellent</v>
      </c>
      <c r="I4" t="str">
        <f t="shared" si="2"/>
        <v>Medium Discount</v>
      </c>
    </row>
    <row r="5" spans="1:9" x14ac:dyDescent="0.35">
      <c r="A5" t="s">
        <v>63</v>
      </c>
      <c r="B5" s="4">
        <v>2025</v>
      </c>
      <c r="C5" s="4">
        <v>3971</v>
      </c>
      <c r="D5" s="4">
        <f t="shared" si="0"/>
        <v>1946</v>
      </c>
      <c r="E5" s="1">
        <v>0.49</v>
      </c>
      <c r="F5">
        <v>3</v>
      </c>
      <c r="G5" s="4">
        <v>5</v>
      </c>
      <c r="H5" t="str">
        <f t="shared" si="1"/>
        <v>Average</v>
      </c>
      <c r="I5" t="str">
        <f t="shared" si="2"/>
        <v>High Discount</v>
      </c>
    </row>
    <row r="6" spans="1:9" x14ac:dyDescent="0.35">
      <c r="A6" t="s">
        <v>99</v>
      </c>
      <c r="B6" s="4">
        <v>2200</v>
      </c>
      <c r="C6" s="4">
        <v>4080</v>
      </c>
      <c r="D6" s="4">
        <f t="shared" si="0"/>
        <v>1880</v>
      </c>
      <c r="E6" s="1">
        <v>0.46</v>
      </c>
      <c r="F6">
        <v>0</v>
      </c>
      <c r="G6">
        <v>0</v>
      </c>
      <c r="H6" t="str">
        <f t="shared" si="1"/>
        <v>poor</v>
      </c>
      <c r="I6" t="str">
        <f t="shared" si="2"/>
        <v>High Discount</v>
      </c>
    </row>
    <row r="7" spans="1:9" x14ac:dyDescent="0.35">
      <c r="A7" t="s">
        <v>128</v>
      </c>
      <c r="B7" s="4">
        <v>2750</v>
      </c>
      <c r="C7" s="4">
        <v>4471</v>
      </c>
      <c r="D7" s="4">
        <f t="shared" si="0"/>
        <v>1721</v>
      </c>
      <c r="E7" s="1">
        <v>0.38</v>
      </c>
      <c r="F7">
        <v>0</v>
      </c>
      <c r="G7">
        <v>0</v>
      </c>
      <c r="H7" t="str">
        <f t="shared" si="1"/>
        <v>poor</v>
      </c>
      <c r="I7" t="str">
        <f t="shared" si="2"/>
        <v>Medium Discount</v>
      </c>
    </row>
    <row r="8" spans="1:9" x14ac:dyDescent="0.35">
      <c r="A8" t="s">
        <v>108</v>
      </c>
      <c r="B8" s="4">
        <v>1820</v>
      </c>
      <c r="C8" s="4">
        <v>3490</v>
      </c>
      <c r="D8" s="4">
        <f t="shared" si="0"/>
        <v>1670</v>
      </c>
      <c r="E8" s="1">
        <v>0.48</v>
      </c>
      <c r="F8">
        <v>9</v>
      </c>
      <c r="G8" s="4">
        <v>4.3</v>
      </c>
      <c r="H8" t="str">
        <f t="shared" si="1"/>
        <v>Excellent</v>
      </c>
      <c r="I8" t="str">
        <f t="shared" si="2"/>
        <v>High Discount</v>
      </c>
    </row>
    <row r="9" spans="1:9" x14ac:dyDescent="0.35">
      <c r="A9" t="s">
        <v>35</v>
      </c>
      <c r="B9" s="4">
        <v>1274</v>
      </c>
      <c r="C9" s="4">
        <v>2800</v>
      </c>
      <c r="D9" s="4">
        <f t="shared" si="0"/>
        <v>1526</v>
      </c>
      <c r="E9" s="1">
        <v>0.55000000000000004</v>
      </c>
      <c r="F9">
        <v>5</v>
      </c>
      <c r="G9" s="4">
        <v>4.8</v>
      </c>
      <c r="H9" t="str">
        <f t="shared" si="1"/>
        <v>Excellent</v>
      </c>
      <c r="I9" t="str">
        <f t="shared" si="2"/>
        <v>High Discount</v>
      </c>
    </row>
    <row r="10" spans="1:9" x14ac:dyDescent="0.35">
      <c r="A10" t="s">
        <v>229</v>
      </c>
      <c r="B10" s="4">
        <v>1570</v>
      </c>
      <c r="C10" s="4">
        <v>2988</v>
      </c>
      <c r="D10" s="4">
        <f t="shared" si="0"/>
        <v>1418</v>
      </c>
      <c r="E10" s="1">
        <v>0.47</v>
      </c>
      <c r="F10">
        <v>7</v>
      </c>
      <c r="G10" s="4">
        <v>2.1</v>
      </c>
      <c r="H10" t="str">
        <f t="shared" si="1"/>
        <v>Excellent</v>
      </c>
      <c r="I10" t="str">
        <f t="shared" si="2"/>
        <v>High Discount</v>
      </c>
    </row>
    <row r="11" spans="1:9" x14ac:dyDescent="0.35">
      <c r="A11" t="s">
        <v>75</v>
      </c>
      <c r="B11" s="4">
        <v>1860</v>
      </c>
      <c r="C11" s="4">
        <v>3220</v>
      </c>
      <c r="D11" s="4">
        <f t="shared" si="0"/>
        <v>1360</v>
      </c>
      <c r="E11" s="1">
        <v>0.42</v>
      </c>
      <c r="F11">
        <v>0</v>
      </c>
      <c r="G11">
        <v>0</v>
      </c>
      <c r="H11" t="str">
        <f t="shared" si="1"/>
        <v>poor</v>
      </c>
      <c r="I11" t="str">
        <f t="shared" si="2"/>
        <v>High Discount</v>
      </c>
    </row>
    <row r="12" spans="1:9" x14ac:dyDescent="0.35">
      <c r="A12" t="s">
        <v>38</v>
      </c>
      <c r="B12" s="4">
        <v>1600</v>
      </c>
      <c r="C12" s="4">
        <v>2929</v>
      </c>
      <c r="D12" s="4">
        <f t="shared" si="0"/>
        <v>1329</v>
      </c>
      <c r="E12" s="1">
        <v>0.45</v>
      </c>
      <c r="F12">
        <v>5</v>
      </c>
      <c r="G12" s="4">
        <v>3.8</v>
      </c>
      <c r="H12" t="str">
        <f t="shared" si="1"/>
        <v>Excellent</v>
      </c>
      <c r="I12" t="str">
        <f t="shared" si="2"/>
        <v>High Discount</v>
      </c>
    </row>
    <row r="13" spans="1:9" x14ac:dyDescent="0.35">
      <c r="A13" t="s">
        <v>272</v>
      </c>
      <c r="B13" s="4">
        <v>1300</v>
      </c>
      <c r="C13" s="4">
        <v>2500</v>
      </c>
      <c r="D13" s="4">
        <f t="shared" si="0"/>
        <v>1200</v>
      </c>
      <c r="E13" s="1">
        <v>0.48</v>
      </c>
      <c r="F13">
        <v>0</v>
      </c>
      <c r="G13">
        <v>0</v>
      </c>
      <c r="H13" t="str">
        <f t="shared" si="1"/>
        <v>poor</v>
      </c>
      <c r="I13" t="str">
        <f t="shared" si="2"/>
        <v>High Discount</v>
      </c>
    </row>
    <row r="14" spans="1:9" x14ac:dyDescent="0.35">
      <c r="A14" t="s">
        <v>278</v>
      </c>
      <c r="B14" s="4">
        <v>1200</v>
      </c>
      <c r="C14" s="4">
        <v>2400</v>
      </c>
      <c r="D14" s="4">
        <f t="shared" si="0"/>
        <v>1200</v>
      </c>
      <c r="E14" s="1">
        <v>0.5</v>
      </c>
      <c r="F14">
        <v>0</v>
      </c>
      <c r="G14">
        <v>0</v>
      </c>
      <c r="H14" t="str">
        <f t="shared" si="1"/>
        <v>poor</v>
      </c>
      <c r="I14" t="str">
        <f t="shared" si="2"/>
        <v>High Discount</v>
      </c>
    </row>
    <row r="15" spans="1:9" x14ac:dyDescent="0.35">
      <c r="A15" t="s">
        <v>117</v>
      </c>
      <c r="B15" s="4">
        <v>1620</v>
      </c>
      <c r="C15" s="4">
        <v>2690</v>
      </c>
      <c r="D15" s="4">
        <f t="shared" si="0"/>
        <v>1070</v>
      </c>
      <c r="E15" s="1">
        <v>0.4</v>
      </c>
      <c r="F15">
        <v>1</v>
      </c>
      <c r="G15" s="4">
        <v>5</v>
      </c>
      <c r="H15" t="str">
        <f t="shared" si="1"/>
        <v>poor</v>
      </c>
      <c r="I15" t="str">
        <f t="shared" si="2"/>
        <v>Medium Discount</v>
      </c>
    </row>
    <row r="16" spans="1:9" x14ac:dyDescent="0.35">
      <c r="A16" t="s">
        <v>177</v>
      </c>
      <c r="B16" s="4">
        <v>2799</v>
      </c>
      <c r="C16" s="4">
        <v>3810</v>
      </c>
      <c r="D16" s="4">
        <f t="shared" si="0"/>
        <v>1011</v>
      </c>
      <c r="E16" s="1">
        <v>0.27</v>
      </c>
      <c r="F16">
        <v>0</v>
      </c>
      <c r="G16">
        <v>0</v>
      </c>
      <c r="H16" t="str">
        <f t="shared" si="1"/>
        <v>poor</v>
      </c>
      <c r="I16" t="str">
        <f t="shared" si="2"/>
        <v>Medium Discount</v>
      </c>
    </row>
    <row r="17" spans="1:9" x14ac:dyDescent="0.35">
      <c r="A17" t="s">
        <v>243</v>
      </c>
      <c r="B17" s="4">
        <v>1189</v>
      </c>
      <c r="C17" s="4">
        <v>2199</v>
      </c>
      <c r="D17" s="4">
        <f t="shared" si="0"/>
        <v>1010</v>
      </c>
      <c r="E17" s="1">
        <v>0.46</v>
      </c>
      <c r="F17">
        <v>1</v>
      </c>
      <c r="G17" s="4">
        <v>3</v>
      </c>
      <c r="H17" t="str">
        <f t="shared" si="1"/>
        <v>poor</v>
      </c>
      <c r="I17" t="str">
        <f t="shared" si="2"/>
        <v>High Discount</v>
      </c>
    </row>
    <row r="18" spans="1:9" x14ac:dyDescent="0.35">
      <c r="A18" t="s">
        <v>143</v>
      </c>
      <c r="B18" s="4">
        <v>999</v>
      </c>
      <c r="C18" s="4">
        <v>2000</v>
      </c>
      <c r="D18" s="4">
        <f t="shared" si="0"/>
        <v>1001</v>
      </c>
      <c r="E18" s="1">
        <v>0.5</v>
      </c>
      <c r="F18">
        <v>0</v>
      </c>
      <c r="G18">
        <v>0</v>
      </c>
      <c r="H18" t="str">
        <f t="shared" si="1"/>
        <v>poor</v>
      </c>
      <c r="I18" t="str">
        <f t="shared" si="2"/>
        <v>High Discount</v>
      </c>
    </row>
    <row r="19" spans="1:9" x14ac:dyDescent="0.35">
      <c r="A19" t="s">
        <v>209</v>
      </c>
      <c r="B19" s="4">
        <v>1000</v>
      </c>
      <c r="C19" s="4">
        <v>2000</v>
      </c>
      <c r="D19" s="4">
        <f t="shared" si="0"/>
        <v>1000</v>
      </c>
      <c r="E19" s="1">
        <v>0.5</v>
      </c>
      <c r="F19">
        <v>7</v>
      </c>
      <c r="G19" s="4">
        <v>2.2999999999999998</v>
      </c>
      <c r="H19" t="str">
        <f t="shared" si="1"/>
        <v>Excellent</v>
      </c>
      <c r="I19" t="str">
        <f t="shared" si="2"/>
        <v>High Discount</v>
      </c>
    </row>
    <row r="20" spans="1:9" x14ac:dyDescent="0.35">
      <c r="A20" t="s">
        <v>298</v>
      </c>
      <c r="B20" s="4">
        <v>1420</v>
      </c>
      <c r="C20" s="4">
        <v>2420</v>
      </c>
      <c r="D20" s="4">
        <f t="shared" si="0"/>
        <v>1000</v>
      </c>
      <c r="E20" s="1">
        <v>0.41</v>
      </c>
      <c r="F20">
        <v>0</v>
      </c>
      <c r="G20">
        <v>0</v>
      </c>
      <c r="H20" t="str">
        <f t="shared" si="1"/>
        <v>poor</v>
      </c>
      <c r="I20" t="str">
        <f t="shared" si="2"/>
        <v>High Discount</v>
      </c>
    </row>
    <row r="21" spans="1:9" x14ac:dyDescent="0.35">
      <c r="A21" t="s">
        <v>68</v>
      </c>
      <c r="B21" s="4">
        <v>998</v>
      </c>
      <c r="C21" s="4">
        <v>1966</v>
      </c>
      <c r="D21" s="4">
        <f t="shared" si="0"/>
        <v>968</v>
      </c>
      <c r="E21" s="1">
        <v>0.49</v>
      </c>
      <c r="F21">
        <v>44</v>
      </c>
      <c r="G21" s="4">
        <v>4.5999999999999996</v>
      </c>
      <c r="H21" t="str">
        <f t="shared" si="1"/>
        <v>Excellent</v>
      </c>
      <c r="I21" t="str">
        <f t="shared" si="2"/>
        <v>High Discount</v>
      </c>
    </row>
    <row r="22" spans="1:9" x14ac:dyDescent="0.35">
      <c r="A22" t="s">
        <v>295</v>
      </c>
      <c r="B22" s="4">
        <v>3640</v>
      </c>
      <c r="C22" s="4">
        <v>4588</v>
      </c>
      <c r="D22" s="4">
        <f t="shared" si="0"/>
        <v>948</v>
      </c>
      <c r="E22" s="1">
        <v>0.21</v>
      </c>
      <c r="F22">
        <v>1</v>
      </c>
      <c r="G22" s="4">
        <v>5</v>
      </c>
      <c r="H22" t="str">
        <f t="shared" si="1"/>
        <v>poor</v>
      </c>
      <c r="I22" t="str">
        <f t="shared" si="2"/>
        <v>Medium Discount</v>
      </c>
    </row>
    <row r="23" spans="1:9" x14ac:dyDescent="0.35">
      <c r="A23" t="s">
        <v>245</v>
      </c>
      <c r="B23" s="4">
        <v>979</v>
      </c>
      <c r="C23" s="4">
        <v>1920</v>
      </c>
      <c r="D23" s="4">
        <f t="shared" si="0"/>
        <v>941</v>
      </c>
      <c r="E23" s="1">
        <v>0.49</v>
      </c>
      <c r="F23">
        <v>1</v>
      </c>
      <c r="G23" s="4">
        <v>5</v>
      </c>
      <c r="H23" t="str">
        <f t="shared" si="1"/>
        <v>poor</v>
      </c>
      <c r="I23" t="str">
        <f t="shared" si="2"/>
        <v>High Discount</v>
      </c>
    </row>
    <row r="24" spans="1:9" x14ac:dyDescent="0.35">
      <c r="A24" t="s">
        <v>218</v>
      </c>
      <c r="B24" s="4">
        <v>2300</v>
      </c>
      <c r="C24" s="4">
        <v>3240</v>
      </c>
      <c r="D24" s="4">
        <f t="shared" si="0"/>
        <v>940</v>
      </c>
      <c r="E24" s="1">
        <v>0.28999999999999998</v>
      </c>
      <c r="F24">
        <v>5</v>
      </c>
      <c r="G24" s="4">
        <v>3</v>
      </c>
      <c r="H24" t="str">
        <f t="shared" si="1"/>
        <v>Excellent</v>
      </c>
      <c r="I24" t="str">
        <f t="shared" si="2"/>
        <v>Medium Discount</v>
      </c>
    </row>
    <row r="25" spans="1:9" x14ac:dyDescent="0.35">
      <c r="A25" t="s">
        <v>18</v>
      </c>
      <c r="B25" s="4">
        <v>1580</v>
      </c>
      <c r="C25" s="4">
        <v>2499</v>
      </c>
      <c r="D25" s="4">
        <f t="shared" si="0"/>
        <v>919</v>
      </c>
      <c r="E25" s="1">
        <v>0.37</v>
      </c>
      <c r="F25">
        <v>7</v>
      </c>
      <c r="G25" s="4">
        <v>4.7</v>
      </c>
      <c r="H25" t="str">
        <f t="shared" si="1"/>
        <v>Excellent</v>
      </c>
      <c r="I25" t="str">
        <f t="shared" si="2"/>
        <v>Medium Discount</v>
      </c>
    </row>
    <row r="26" spans="1:9" x14ac:dyDescent="0.35">
      <c r="A26" t="s">
        <v>125</v>
      </c>
      <c r="B26" s="4">
        <v>1800</v>
      </c>
      <c r="C26" s="4">
        <v>2700</v>
      </c>
      <c r="D26" s="4">
        <f t="shared" si="0"/>
        <v>900</v>
      </c>
      <c r="E26" s="1">
        <v>0.33</v>
      </c>
      <c r="F26">
        <v>2</v>
      </c>
      <c r="G26" s="4">
        <v>4.5</v>
      </c>
      <c r="H26" t="str">
        <f t="shared" si="1"/>
        <v>poor</v>
      </c>
      <c r="I26" t="str">
        <f t="shared" si="2"/>
        <v>Medium Discount</v>
      </c>
    </row>
    <row r="27" spans="1:9" x14ac:dyDescent="0.35">
      <c r="A27" t="s">
        <v>269</v>
      </c>
      <c r="B27" s="4">
        <v>850</v>
      </c>
      <c r="C27" s="4">
        <v>1700</v>
      </c>
      <c r="D27" s="4">
        <f t="shared" si="0"/>
        <v>850</v>
      </c>
      <c r="E27" s="1">
        <v>0.5</v>
      </c>
      <c r="F27">
        <v>0</v>
      </c>
      <c r="G27">
        <v>0</v>
      </c>
      <c r="H27" t="str">
        <f t="shared" si="1"/>
        <v>poor</v>
      </c>
      <c r="I27" t="str">
        <f t="shared" si="2"/>
        <v>High Discount</v>
      </c>
    </row>
    <row r="28" spans="1:9" x14ac:dyDescent="0.35">
      <c r="A28" t="s">
        <v>227</v>
      </c>
      <c r="B28" s="4">
        <v>968</v>
      </c>
      <c r="C28" s="4">
        <v>1814</v>
      </c>
      <c r="D28" s="4">
        <f t="shared" si="0"/>
        <v>846</v>
      </c>
      <c r="E28" s="1">
        <v>0.47</v>
      </c>
      <c r="F28">
        <v>6</v>
      </c>
      <c r="G28" s="4">
        <v>2.2000000000000002</v>
      </c>
      <c r="H28" t="str">
        <f t="shared" si="1"/>
        <v>Excellent</v>
      </c>
      <c r="I28" t="str">
        <f t="shared" si="2"/>
        <v>High Discount</v>
      </c>
    </row>
    <row r="29" spans="1:9" x14ac:dyDescent="0.35">
      <c r="A29" t="s">
        <v>248</v>
      </c>
      <c r="B29" s="4">
        <v>1460</v>
      </c>
      <c r="C29" s="4">
        <v>2290</v>
      </c>
      <c r="D29" s="4">
        <f t="shared" si="0"/>
        <v>830</v>
      </c>
      <c r="E29" s="1">
        <v>0.36</v>
      </c>
      <c r="F29">
        <v>0</v>
      </c>
      <c r="G29">
        <v>0</v>
      </c>
      <c r="H29" t="str">
        <f t="shared" si="1"/>
        <v>poor</v>
      </c>
      <c r="I29" t="str">
        <f t="shared" si="2"/>
        <v>Medium Discount</v>
      </c>
    </row>
    <row r="30" spans="1:9" x14ac:dyDescent="0.35">
      <c r="A30" t="s">
        <v>206</v>
      </c>
      <c r="B30" s="4">
        <v>990</v>
      </c>
      <c r="C30" s="4">
        <v>1814</v>
      </c>
      <c r="D30" s="4">
        <f t="shared" si="0"/>
        <v>824</v>
      </c>
      <c r="E30" s="1">
        <v>0.45</v>
      </c>
      <c r="F30">
        <v>6</v>
      </c>
      <c r="G30" s="4">
        <v>2.2000000000000002</v>
      </c>
      <c r="H30" t="str">
        <f t="shared" si="1"/>
        <v>Excellent</v>
      </c>
      <c r="I30" t="str">
        <f t="shared" si="2"/>
        <v>High Discount</v>
      </c>
    </row>
    <row r="31" spans="1:9" x14ac:dyDescent="0.35">
      <c r="A31" t="s">
        <v>53</v>
      </c>
      <c r="B31" s="4">
        <v>1680</v>
      </c>
      <c r="C31" s="4">
        <v>2499</v>
      </c>
      <c r="D31" s="4">
        <f t="shared" si="0"/>
        <v>819</v>
      </c>
      <c r="E31" s="1">
        <v>0.33</v>
      </c>
      <c r="F31">
        <v>9</v>
      </c>
      <c r="G31" s="4">
        <v>4.2</v>
      </c>
      <c r="H31" t="str">
        <f t="shared" si="1"/>
        <v>Excellent</v>
      </c>
      <c r="I31" t="str">
        <f t="shared" si="2"/>
        <v>Medium Discount</v>
      </c>
    </row>
    <row r="32" spans="1:9" x14ac:dyDescent="0.35">
      <c r="A32" t="s">
        <v>277</v>
      </c>
      <c r="B32" s="4">
        <v>899</v>
      </c>
      <c r="C32" s="4">
        <v>1699</v>
      </c>
      <c r="D32" s="4">
        <f t="shared" si="0"/>
        <v>800</v>
      </c>
      <c r="E32" s="1">
        <v>0.47</v>
      </c>
      <c r="F32">
        <v>0</v>
      </c>
      <c r="G32">
        <v>0</v>
      </c>
      <c r="H32" t="str">
        <f t="shared" si="1"/>
        <v>poor</v>
      </c>
      <c r="I32" t="str">
        <f t="shared" si="2"/>
        <v>High Discount</v>
      </c>
    </row>
    <row r="33" spans="1:9" x14ac:dyDescent="0.35">
      <c r="A33" t="s">
        <v>292</v>
      </c>
      <c r="B33" s="4">
        <v>1080</v>
      </c>
      <c r="C33" s="4">
        <v>1874</v>
      </c>
      <c r="D33" s="4">
        <f t="shared" si="0"/>
        <v>794</v>
      </c>
      <c r="E33" s="1">
        <v>0.42</v>
      </c>
      <c r="F33">
        <v>0</v>
      </c>
      <c r="G33">
        <v>0</v>
      </c>
      <c r="H33" t="str">
        <f t="shared" si="1"/>
        <v>poor</v>
      </c>
      <c r="I33" t="str">
        <f t="shared" si="2"/>
        <v>High Discount</v>
      </c>
    </row>
    <row r="34" spans="1:9" x14ac:dyDescent="0.35">
      <c r="A34" t="s">
        <v>175</v>
      </c>
      <c r="B34" s="4">
        <v>799</v>
      </c>
      <c r="C34" s="4">
        <v>1567</v>
      </c>
      <c r="D34" s="4">
        <f t="shared" ref="D34:D65" si="3">C34-B34</f>
        <v>768</v>
      </c>
      <c r="E34" s="1">
        <v>0.49</v>
      </c>
      <c r="F34">
        <v>0</v>
      </c>
      <c r="G34">
        <v>0</v>
      </c>
      <c r="H34" t="str">
        <f t="shared" ref="H34:H65" si="4">IF(F34&lt;3,"poor",IF(F34&lt;=4.4,"Average",IF(F34&gt;=4.5,"Excellent")))</f>
        <v>poor</v>
      </c>
      <c r="I34" t="str">
        <f t="shared" ref="I34:I65" si="5">IF(E34&lt;20%,"Low Discount",IF(E34&lt;=40%,"Medium Discount",IF(E34&gt;40%,"High Discount")))</f>
        <v>High Discount</v>
      </c>
    </row>
    <row r="35" spans="1:9" x14ac:dyDescent="0.35">
      <c r="A35" t="s">
        <v>151</v>
      </c>
      <c r="B35" s="4">
        <v>1200</v>
      </c>
      <c r="C35" s="4">
        <v>1950</v>
      </c>
      <c r="D35" s="4">
        <f t="shared" si="3"/>
        <v>750</v>
      </c>
      <c r="E35" s="1">
        <v>0.38</v>
      </c>
      <c r="F35">
        <v>0</v>
      </c>
      <c r="G35">
        <v>0</v>
      </c>
      <c r="H35" t="str">
        <f t="shared" si="4"/>
        <v>poor</v>
      </c>
      <c r="I35" t="str">
        <f t="shared" si="5"/>
        <v>Medium Discount</v>
      </c>
    </row>
    <row r="36" spans="1:9" x14ac:dyDescent="0.35">
      <c r="A36" t="s">
        <v>97</v>
      </c>
      <c r="B36" s="4">
        <v>1758</v>
      </c>
      <c r="C36" s="4">
        <v>2499</v>
      </c>
      <c r="D36" s="4">
        <f t="shared" si="3"/>
        <v>741</v>
      </c>
      <c r="E36" s="1">
        <v>0.3</v>
      </c>
      <c r="F36">
        <v>20</v>
      </c>
      <c r="G36" s="4">
        <v>4.0999999999999996</v>
      </c>
      <c r="H36" t="str">
        <f t="shared" si="4"/>
        <v>Excellent</v>
      </c>
      <c r="I36" t="str">
        <f t="shared" si="5"/>
        <v>Medium Discount</v>
      </c>
    </row>
    <row r="37" spans="1:9" x14ac:dyDescent="0.35">
      <c r="A37" t="s">
        <v>14</v>
      </c>
      <c r="B37" s="4">
        <v>2199</v>
      </c>
      <c r="C37" s="4">
        <v>2923</v>
      </c>
      <c r="D37" s="4">
        <f t="shared" si="3"/>
        <v>724</v>
      </c>
      <c r="E37" s="1">
        <v>0.25</v>
      </c>
      <c r="F37">
        <v>24</v>
      </c>
      <c r="G37" s="4">
        <v>4.5999999999999996</v>
      </c>
      <c r="H37" t="str">
        <f t="shared" si="4"/>
        <v>Excellent</v>
      </c>
      <c r="I37" t="str">
        <f t="shared" si="5"/>
        <v>Medium Discount</v>
      </c>
    </row>
    <row r="38" spans="1:9" x14ac:dyDescent="0.35">
      <c r="A38" t="s">
        <v>114</v>
      </c>
      <c r="B38" s="4">
        <v>1980</v>
      </c>
      <c r="C38" s="4">
        <v>2699</v>
      </c>
      <c r="D38" s="4">
        <f t="shared" si="3"/>
        <v>719</v>
      </c>
      <c r="E38" s="1">
        <v>0.27</v>
      </c>
      <c r="F38">
        <v>32</v>
      </c>
      <c r="G38" s="4">
        <v>4.5</v>
      </c>
      <c r="H38" t="str">
        <f t="shared" si="4"/>
        <v>Excellent</v>
      </c>
      <c r="I38" t="str">
        <f t="shared" si="5"/>
        <v>Medium Discount</v>
      </c>
    </row>
    <row r="39" spans="1:9" x14ac:dyDescent="0.35">
      <c r="A39" t="s">
        <v>30</v>
      </c>
      <c r="B39" s="4">
        <v>2319</v>
      </c>
      <c r="C39" s="4">
        <v>3032</v>
      </c>
      <c r="D39" s="4">
        <f t="shared" si="3"/>
        <v>713</v>
      </c>
      <c r="E39" s="1">
        <v>0.24</v>
      </c>
      <c r="F39">
        <v>55</v>
      </c>
      <c r="G39" s="4">
        <v>4.5999999999999996</v>
      </c>
      <c r="H39" t="str">
        <f t="shared" si="4"/>
        <v>Excellent</v>
      </c>
      <c r="I39" t="str">
        <f t="shared" si="5"/>
        <v>Medium Discount</v>
      </c>
    </row>
    <row r="40" spans="1:9" x14ac:dyDescent="0.35">
      <c r="A40" t="s">
        <v>111</v>
      </c>
      <c r="B40" s="4">
        <v>1940</v>
      </c>
      <c r="C40" s="4">
        <v>2650</v>
      </c>
      <c r="D40" s="4">
        <f t="shared" si="3"/>
        <v>710</v>
      </c>
      <c r="E40" s="1">
        <v>0.27</v>
      </c>
      <c r="F40">
        <v>20</v>
      </c>
      <c r="G40" s="4">
        <v>4.7</v>
      </c>
      <c r="H40" t="str">
        <f t="shared" si="4"/>
        <v>Excellent</v>
      </c>
      <c r="I40" t="str">
        <f t="shared" si="5"/>
        <v>Medium Discount</v>
      </c>
    </row>
    <row r="41" spans="1:9" x14ac:dyDescent="0.35">
      <c r="A41" t="s">
        <v>66</v>
      </c>
      <c r="B41" s="4">
        <v>2999</v>
      </c>
      <c r="C41" s="4">
        <v>3699</v>
      </c>
      <c r="D41" s="4">
        <f t="shared" si="3"/>
        <v>700</v>
      </c>
      <c r="E41" s="1">
        <v>0.19</v>
      </c>
      <c r="F41">
        <v>5</v>
      </c>
      <c r="G41" s="4">
        <v>4.5999999999999996</v>
      </c>
      <c r="H41" t="str">
        <f t="shared" si="4"/>
        <v>Excellent</v>
      </c>
      <c r="I41" t="str">
        <f t="shared" si="5"/>
        <v>Low Discount</v>
      </c>
    </row>
    <row r="42" spans="1:9" x14ac:dyDescent="0.35">
      <c r="A42" t="s">
        <v>232</v>
      </c>
      <c r="B42" s="4">
        <v>790</v>
      </c>
      <c r="C42" s="4">
        <v>1485</v>
      </c>
      <c r="D42" s="4">
        <f t="shared" si="3"/>
        <v>695</v>
      </c>
      <c r="E42" s="1">
        <v>0.47</v>
      </c>
      <c r="F42">
        <v>0</v>
      </c>
      <c r="G42">
        <v>0</v>
      </c>
      <c r="H42" t="str">
        <f t="shared" si="4"/>
        <v>poor</v>
      </c>
      <c r="I42" t="str">
        <f t="shared" si="5"/>
        <v>High Discount</v>
      </c>
    </row>
    <row r="43" spans="1:9" x14ac:dyDescent="0.35">
      <c r="A43" t="s">
        <v>148</v>
      </c>
      <c r="B43" s="4">
        <v>671</v>
      </c>
      <c r="C43" s="4">
        <v>1316</v>
      </c>
      <c r="D43" s="4">
        <f t="shared" si="3"/>
        <v>645</v>
      </c>
      <c r="E43" s="1">
        <v>0.49</v>
      </c>
      <c r="F43">
        <v>0</v>
      </c>
      <c r="G43">
        <v>0</v>
      </c>
      <c r="H43" t="str">
        <f t="shared" si="4"/>
        <v>poor</v>
      </c>
      <c r="I43" t="str">
        <f t="shared" si="5"/>
        <v>High Discount</v>
      </c>
    </row>
    <row r="44" spans="1:9" x14ac:dyDescent="0.35">
      <c r="A44" t="s">
        <v>173</v>
      </c>
      <c r="B44" s="4">
        <v>699</v>
      </c>
      <c r="C44" s="4">
        <v>1343</v>
      </c>
      <c r="D44" s="4">
        <f t="shared" si="3"/>
        <v>644</v>
      </c>
      <c r="E44" s="1">
        <v>0.48</v>
      </c>
      <c r="F44">
        <v>0</v>
      </c>
      <c r="G44">
        <v>0</v>
      </c>
      <c r="H44" t="str">
        <f t="shared" si="4"/>
        <v>poor</v>
      </c>
      <c r="I44" t="str">
        <f t="shared" si="5"/>
        <v>High Discount</v>
      </c>
    </row>
    <row r="45" spans="1:9" x14ac:dyDescent="0.35">
      <c r="A45" t="s">
        <v>92</v>
      </c>
      <c r="B45" s="4">
        <v>2880</v>
      </c>
      <c r="C45" s="4">
        <v>3520</v>
      </c>
      <c r="D45" s="4">
        <f t="shared" si="3"/>
        <v>640</v>
      </c>
      <c r="E45" s="1">
        <v>0.18</v>
      </c>
      <c r="F45">
        <v>12</v>
      </c>
      <c r="G45" s="4">
        <v>3.8</v>
      </c>
      <c r="H45" t="str">
        <f t="shared" si="4"/>
        <v>Excellent</v>
      </c>
      <c r="I45" t="str">
        <f t="shared" si="5"/>
        <v>Low Discount</v>
      </c>
    </row>
    <row r="46" spans="1:9" x14ac:dyDescent="0.35">
      <c r="A46" t="s">
        <v>95</v>
      </c>
      <c r="B46" s="4">
        <v>1350</v>
      </c>
      <c r="C46" s="4">
        <v>1990</v>
      </c>
      <c r="D46" s="4">
        <f t="shared" si="3"/>
        <v>640</v>
      </c>
      <c r="E46" s="1">
        <v>0.32</v>
      </c>
      <c r="F46">
        <v>13</v>
      </c>
      <c r="G46" s="4">
        <v>3.8</v>
      </c>
      <c r="H46" t="str">
        <f t="shared" si="4"/>
        <v>Excellent</v>
      </c>
      <c r="I46" t="str">
        <f t="shared" si="5"/>
        <v>Medium Discount</v>
      </c>
    </row>
    <row r="47" spans="1:9" x14ac:dyDescent="0.35">
      <c r="A47" t="s">
        <v>310</v>
      </c>
      <c r="B47" s="4">
        <v>1190</v>
      </c>
      <c r="C47" s="4">
        <v>1810</v>
      </c>
      <c r="D47" s="4">
        <f t="shared" si="3"/>
        <v>620</v>
      </c>
      <c r="E47" s="1">
        <v>0.34</v>
      </c>
      <c r="F47">
        <v>0</v>
      </c>
      <c r="G47">
        <v>0</v>
      </c>
      <c r="H47" t="str">
        <f t="shared" si="4"/>
        <v>poor</v>
      </c>
      <c r="I47" t="str">
        <f t="shared" si="5"/>
        <v>Medium Discount</v>
      </c>
    </row>
    <row r="48" spans="1:9" x14ac:dyDescent="0.35">
      <c r="A48" t="s">
        <v>22</v>
      </c>
      <c r="B48" s="4">
        <v>1740</v>
      </c>
      <c r="C48" s="4">
        <v>2356</v>
      </c>
      <c r="D48" s="4">
        <f t="shared" si="3"/>
        <v>616</v>
      </c>
      <c r="E48" s="1">
        <v>0.26</v>
      </c>
      <c r="F48">
        <v>5</v>
      </c>
      <c r="G48" s="4">
        <v>4.8</v>
      </c>
      <c r="H48" t="str">
        <f t="shared" si="4"/>
        <v>Excellent</v>
      </c>
      <c r="I48" t="str">
        <f t="shared" si="5"/>
        <v>Medium Discount</v>
      </c>
    </row>
    <row r="49" spans="1:9" x14ac:dyDescent="0.35">
      <c r="A49" t="s">
        <v>145</v>
      </c>
      <c r="B49" s="4">
        <v>1190</v>
      </c>
      <c r="C49" s="4">
        <v>1785</v>
      </c>
      <c r="D49" s="4">
        <f t="shared" si="3"/>
        <v>595</v>
      </c>
      <c r="E49" s="1">
        <v>0.33</v>
      </c>
      <c r="F49">
        <v>0</v>
      </c>
      <c r="G49">
        <v>0</v>
      </c>
      <c r="H49" t="str">
        <f t="shared" si="4"/>
        <v>poor</v>
      </c>
      <c r="I49" t="str">
        <f t="shared" si="5"/>
        <v>Medium Discount</v>
      </c>
    </row>
    <row r="50" spans="1:9" x14ac:dyDescent="0.35">
      <c r="A50" t="s">
        <v>33</v>
      </c>
      <c r="B50" s="4">
        <v>988</v>
      </c>
      <c r="C50" s="4">
        <v>1580</v>
      </c>
      <c r="D50" s="4">
        <f t="shared" si="3"/>
        <v>592</v>
      </c>
      <c r="E50" s="1">
        <v>0.37</v>
      </c>
      <c r="F50">
        <v>2</v>
      </c>
      <c r="G50" s="4">
        <v>4</v>
      </c>
      <c r="H50" t="str">
        <f t="shared" si="4"/>
        <v>poor</v>
      </c>
      <c r="I50" t="str">
        <f t="shared" si="5"/>
        <v>Medium Discount</v>
      </c>
    </row>
    <row r="51" spans="1:9" x14ac:dyDescent="0.35">
      <c r="A51" t="s">
        <v>307</v>
      </c>
      <c r="B51" s="4">
        <v>1150</v>
      </c>
      <c r="C51" s="4">
        <v>1737</v>
      </c>
      <c r="D51" s="4">
        <f t="shared" si="3"/>
        <v>587</v>
      </c>
      <c r="E51" s="1">
        <v>0.34</v>
      </c>
      <c r="F51">
        <v>0</v>
      </c>
      <c r="G51">
        <v>0</v>
      </c>
      <c r="H51" t="str">
        <f t="shared" si="4"/>
        <v>poor</v>
      </c>
      <c r="I51" t="str">
        <f t="shared" si="5"/>
        <v>Medium Discount</v>
      </c>
    </row>
    <row r="52" spans="1:9" x14ac:dyDescent="0.35">
      <c r="A52" t="s">
        <v>6</v>
      </c>
      <c r="B52" s="4">
        <v>950</v>
      </c>
      <c r="C52" s="4">
        <v>1525</v>
      </c>
      <c r="D52" s="4">
        <f t="shared" si="3"/>
        <v>575</v>
      </c>
      <c r="E52" s="1">
        <v>0.38</v>
      </c>
      <c r="F52">
        <v>2</v>
      </c>
      <c r="G52" s="4">
        <v>4.5</v>
      </c>
      <c r="H52" t="str">
        <f t="shared" si="4"/>
        <v>poor</v>
      </c>
      <c r="I52" t="str">
        <f t="shared" si="5"/>
        <v>Medium Discount</v>
      </c>
    </row>
    <row r="53" spans="1:9" x14ac:dyDescent="0.35">
      <c r="A53" t="s">
        <v>168</v>
      </c>
      <c r="B53" s="4">
        <v>799</v>
      </c>
      <c r="C53" s="4">
        <v>1343</v>
      </c>
      <c r="D53" s="4">
        <f t="shared" si="3"/>
        <v>544</v>
      </c>
      <c r="E53" s="1">
        <v>0.41</v>
      </c>
      <c r="F53">
        <v>0</v>
      </c>
      <c r="G53">
        <v>0</v>
      </c>
      <c r="H53" t="str">
        <f t="shared" si="4"/>
        <v>poor</v>
      </c>
      <c r="I53" t="str">
        <f t="shared" si="5"/>
        <v>High Discount</v>
      </c>
    </row>
    <row r="54" spans="1:9" x14ac:dyDescent="0.35">
      <c r="A54" t="s">
        <v>186</v>
      </c>
      <c r="B54" s="4">
        <v>458</v>
      </c>
      <c r="C54" s="4">
        <v>986</v>
      </c>
      <c r="D54" s="4">
        <f t="shared" si="3"/>
        <v>528</v>
      </c>
      <c r="E54" s="1">
        <v>0.54</v>
      </c>
      <c r="F54">
        <v>10</v>
      </c>
      <c r="G54" s="4">
        <v>3</v>
      </c>
      <c r="H54" t="str">
        <f t="shared" si="4"/>
        <v>Excellent</v>
      </c>
      <c r="I54" t="str">
        <f t="shared" si="5"/>
        <v>High Discount</v>
      </c>
    </row>
    <row r="55" spans="1:9" x14ac:dyDescent="0.35">
      <c r="A55" t="s">
        <v>105</v>
      </c>
      <c r="B55" s="4">
        <v>980</v>
      </c>
      <c r="C55" s="4">
        <v>1490</v>
      </c>
      <c r="D55" s="4">
        <f t="shared" si="3"/>
        <v>510</v>
      </c>
      <c r="E55" s="1">
        <v>0.34</v>
      </c>
      <c r="F55">
        <v>12</v>
      </c>
      <c r="G55" s="4">
        <v>4.7</v>
      </c>
      <c r="H55" t="str">
        <f t="shared" si="4"/>
        <v>Excellent</v>
      </c>
      <c r="I55" t="str">
        <f t="shared" si="5"/>
        <v>Medium Discount</v>
      </c>
    </row>
    <row r="56" spans="1:9" x14ac:dyDescent="0.35">
      <c r="A56" t="s">
        <v>44</v>
      </c>
      <c r="B56" s="4">
        <v>990</v>
      </c>
      <c r="C56" s="4">
        <v>1500</v>
      </c>
      <c r="D56" s="4">
        <f t="shared" si="3"/>
        <v>510</v>
      </c>
      <c r="E56" s="1">
        <v>0.34</v>
      </c>
      <c r="F56">
        <v>39</v>
      </c>
      <c r="G56" s="4">
        <v>4.7</v>
      </c>
      <c r="H56" t="str">
        <f t="shared" si="4"/>
        <v>Excellent</v>
      </c>
      <c r="I56" t="str">
        <f t="shared" si="5"/>
        <v>Medium Discount</v>
      </c>
    </row>
    <row r="57" spans="1:9" x14ac:dyDescent="0.35">
      <c r="A57" t="s">
        <v>235</v>
      </c>
      <c r="B57" s="4">
        <v>690</v>
      </c>
      <c r="C57" s="4">
        <v>1200</v>
      </c>
      <c r="D57" s="4">
        <f t="shared" si="3"/>
        <v>510</v>
      </c>
      <c r="E57" s="1">
        <v>0.43</v>
      </c>
      <c r="F57">
        <v>0</v>
      </c>
      <c r="G57">
        <v>0</v>
      </c>
      <c r="H57" t="str">
        <f t="shared" si="4"/>
        <v>poor</v>
      </c>
      <c r="I57" t="str">
        <f t="shared" si="5"/>
        <v>High Discount</v>
      </c>
    </row>
    <row r="58" spans="1:9" x14ac:dyDescent="0.35">
      <c r="A58" t="s">
        <v>289</v>
      </c>
      <c r="B58" s="4">
        <v>525</v>
      </c>
      <c r="C58" s="4">
        <v>1029</v>
      </c>
      <c r="D58" s="4">
        <f t="shared" si="3"/>
        <v>504</v>
      </c>
      <c r="E58" s="1">
        <v>0.49</v>
      </c>
      <c r="F58">
        <v>0</v>
      </c>
      <c r="G58">
        <v>0</v>
      </c>
      <c r="H58" t="str">
        <f t="shared" si="4"/>
        <v>poor</v>
      </c>
      <c r="I58" t="str">
        <f t="shared" si="5"/>
        <v>High Discount</v>
      </c>
    </row>
    <row r="59" spans="1:9" x14ac:dyDescent="0.35">
      <c r="A59" t="s">
        <v>81</v>
      </c>
      <c r="B59" s="4">
        <v>1650</v>
      </c>
      <c r="C59" s="4">
        <v>2150</v>
      </c>
      <c r="D59" s="4">
        <f t="shared" si="3"/>
        <v>500</v>
      </c>
      <c r="E59" s="1">
        <v>0.23</v>
      </c>
      <c r="F59">
        <v>14</v>
      </c>
      <c r="G59" s="4">
        <v>4.4000000000000004</v>
      </c>
      <c r="H59" t="str">
        <f t="shared" si="4"/>
        <v>Excellent</v>
      </c>
      <c r="I59" t="str">
        <f t="shared" si="5"/>
        <v>Medium Discount</v>
      </c>
    </row>
    <row r="60" spans="1:9" x14ac:dyDescent="0.35">
      <c r="A60" t="s">
        <v>47</v>
      </c>
      <c r="B60" s="4">
        <v>552</v>
      </c>
      <c r="C60" s="4">
        <v>1035</v>
      </c>
      <c r="D60" s="4">
        <f t="shared" si="3"/>
        <v>483</v>
      </c>
      <c r="E60" s="1">
        <v>0.47</v>
      </c>
      <c r="F60">
        <v>12</v>
      </c>
      <c r="G60" s="4">
        <v>4.8</v>
      </c>
      <c r="H60" t="str">
        <f t="shared" si="4"/>
        <v>Excellent</v>
      </c>
      <c r="I60" t="str">
        <f t="shared" si="5"/>
        <v>High Discount</v>
      </c>
    </row>
    <row r="61" spans="1:9" x14ac:dyDescent="0.35">
      <c r="A61" t="s">
        <v>10</v>
      </c>
      <c r="B61" s="4">
        <v>527</v>
      </c>
      <c r="C61" s="4">
        <v>999</v>
      </c>
      <c r="D61" s="4">
        <f t="shared" si="3"/>
        <v>472</v>
      </c>
      <c r="E61" s="1">
        <v>0.47</v>
      </c>
      <c r="F61">
        <v>14</v>
      </c>
      <c r="G61" s="4">
        <v>4.0999999999999996</v>
      </c>
      <c r="H61" t="str">
        <f t="shared" si="4"/>
        <v>Excellent</v>
      </c>
      <c r="I61" t="str">
        <f t="shared" si="5"/>
        <v>High Discount</v>
      </c>
    </row>
    <row r="62" spans="1:9" x14ac:dyDescent="0.35">
      <c r="A62" t="s">
        <v>78</v>
      </c>
      <c r="B62" s="4">
        <v>880</v>
      </c>
      <c r="C62" s="4">
        <v>1350</v>
      </c>
      <c r="D62" s="4">
        <f t="shared" si="3"/>
        <v>470</v>
      </c>
      <c r="E62" s="1">
        <v>0.35</v>
      </c>
      <c r="F62">
        <v>6</v>
      </c>
      <c r="G62" s="4">
        <v>4</v>
      </c>
      <c r="H62" t="str">
        <f t="shared" si="4"/>
        <v>Excellent</v>
      </c>
      <c r="I62" t="str">
        <f t="shared" si="5"/>
        <v>Medium Discount</v>
      </c>
    </row>
    <row r="63" spans="1:9" x14ac:dyDescent="0.35">
      <c r="A63" t="s">
        <v>266</v>
      </c>
      <c r="B63" s="4">
        <v>630</v>
      </c>
      <c r="C63" s="4">
        <v>1100</v>
      </c>
      <c r="D63" s="4">
        <f t="shared" si="3"/>
        <v>470</v>
      </c>
      <c r="E63" s="1">
        <v>0.43</v>
      </c>
      <c r="F63">
        <v>0</v>
      </c>
      <c r="G63">
        <v>0</v>
      </c>
      <c r="H63" t="str">
        <f t="shared" si="4"/>
        <v>poor</v>
      </c>
      <c r="I63" t="str">
        <f t="shared" si="5"/>
        <v>High Discount</v>
      </c>
    </row>
    <row r="64" spans="1:9" x14ac:dyDescent="0.35">
      <c r="A64" t="s">
        <v>131</v>
      </c>
      <c r="B64" s="4">
        <v>475</v>
      </c>
      <c r="C64" s="4">
        <v>931</v>
      </c>
      <c r="D64" s="4">
        <f t="shared" si="3"/>
        <v>456</v>
      </c>
      <c r="E64" s="1">
        <v>0.49</v>
      </c>
      <c r="F64">
        <v>0</v>
      </c>
      <c r="G64">
        <v>0</v>
      </c>
      <c r="H64" t="str">
        <f t="shared" si="4"/>
        <v>poor</v>
      </c>
      <c r="I64" t="str">
        <f t="shared" si="5"/>
        <v>High Discount</v>
      </c>
    </row>
    <row r="65" spans="1:9" x14ac:dyDescent="0.35">
      <c r="A65" t="s">
        <v>318</v>
      </c>
      <c r="B65" s="4">
        <v>450</v>
      </c>
      <c r="C65" s="4">
        <v>900</v>
      </c>
      <c r="D65" s="4">
        <f t="shared" si="3"/>
        <v>450</v>
      </c>
      <c r="E65" s="1">
        <v>0.5</v>
      </c>
      <c r="F65">
        <v>1</v>
      </c>
      <c r="G65" s="4">
        <v>2</v>
      </c>
      <c r="H65" t="str">
        <f t="shared" si="4"/>
        <v>poor</v>
      </c>
      <c r="I65" t="str">
        <f t="shared" si="5"/>
        <v>High Discount</v>
      </c>
    </row>
    <row r="66" spans="1:9" x14ac:dyDescent="0.35">
      <c r="A66" t="s">
        <v>137</v>
      </c>
      <c r="B66" s="4">
        <v>610</v>
      </c>
      <c r="C66" s="4">
        <v>1060</v>
      </c>
      <c r="D66" s="4">
        <f t="shared" ref="D66:D97" si="6">C66-B66</f>
        <v>450</v>
      </c>
      <c r="E66" s="1">
        <v>0.42</v>
      </c>
      <c r="F66">
        <v>0</v>
      </c>
      <c r="G66">
        <v>0</v>
      </c>
      <c r="H66" t="str">
        <f t="shared" ref="H66:H97" si="7">IF(F66&lt;3,"poor",IF(F66&lt;=4.4,"Average",IF(F66&gt;=4.5,"Excellent")))</f>
        <v>poor</v>
      </c>
      <c r="I66" t="str">
        <f t="shared" ref="I66:I97" si="8">IF(E66&lt;20%,"Low Discount",IF(E66&lt;=40%,"Medium Discount",IF(E66&gt;40%,"High Discount")))</f>
        <v>High Discount</v>
      </c>
    </row>
    <row r="67" spans="1:9" x14ac:dyDescent="0.35">
      <c r="A67" t="s">
        <v>194</v>
      </c>
      <c r="B67" s="4">
        <v>445</v>
      </c>
      <c r="C67" s="4">
        <v>873</v>
      </c>
      <c r="D67" s="4">
        <f t="shared" si="6"/>
        <v>428</v>
      </c>
      <c r="E67" s="1">
        <v>0.49</v>
      </c>
      <c r="F67">
        <v>69</v>
      </c>
      <c r="G67" s="4">
        <v>2.8</v>
      </c>
      <c r="H67" t="str">
        <f t="shared" si="7"/>
        <v>Excellent</v>
      </c>
      <c r="I67" t="str">
        <f t="shared" si="8"/>
        <v>High Discount</v>
      </c>
    </row>
    <row r="68" spans="1:9" x14ac:dyDescent="0.35">
      <c r="A68" t="s">
        <v>170</v>
      </c>
      <c r="B68" s="4">
        <v>499</v>
      </c>
      <c r="C68" s="4">
        <v>900</v>
      </c>
      <c r="D68" s="4">
        <f t="shared" si="6"/>
        <v>401</v>
      </c>
      <c r="E68" s="1">
        <v>0.45</v>
      </c>
      <c r="F68">
        <v>0</v>
      </c>
      <c r="G68">
        <v>0</v>
      </c>
      <c r="H68" t="str">
        <f t="shared" si="7"/>
        <v>poor</v>
      </c>
      <c r="I68" t="str">
        <f t="shared" si="8"/>
        <v>High Discount</v>
      </c>
    </row>
    <row r="69" spans="1:9" x14ac:dyDescent="0.35">
      <c r="A69" t="s">
        <v>224</v>
      </c>
      <c r="B69" s="4">
        <v>509</v>
      </c>
      <c r="C69" s="4">
        <v>899</v>
      </c>
      <c r="D69" s="4">
        <f t="shared" si="6"/>
        <v>390</v>
      </c>
      <c r="E69" s="1">
        <v>0.43</v>
      </c>
      <c r="F69">
        <v>5</v>
      </c>
      <c r="G69" s="4">
        <v>3</v>
      </c>
      <c r="H69" t="str">
        <f t="shared" si="7"/>
        <v>Excellent</v>
      </c>
      <c r="I69" t="str">
        <f t="shared" si="8"/>
        <v>High Discount</v>
      </c>
    </row>
    <row r="70" spans="1:9" x14ac:dyDescent="0.35">
      <c r="A70" t="s">
        <v>50</v>
      </c>
      <c r="B70" s="4">
        <v>501</v>
      </c>
      <c r="C70" s="4">
        <v>860</v>
      </c>
      <c r="D70" s="4">
        <f t="shared" si="6"/>
        <v>359</v>
      </c>
      <c r="E70" s="1">
        <v>0.42</v>
      </c>
      <c r="F70">
        <v>6</v>
      </c>
      <c r="G70" s="4">
        <v>4.5</v>
      </c>
      <c r="H70" t="str">
        <f t="shared" si="7"/>
        <v>Excellent</v>
      </c>
      <c r="I70" t="str">
        <f t="shared" si="8"/>
        <v>High Discount</v>
      </c>
    </row>
    <row r="71" spans="1:9" x14ac:dyDescent="0.35">
      <c r="A71" t="s">
        <v>198</v>
      </c>
      <c r="B71" s="4">
        <v>325</v>
      </c>
      <c r="C71" s="4">
        <v>680</v>
      </c>
      <c r="D71" s="4">
        <f t="shared" si="6"/>
        <v>355</v>
      </c>
      <c r="E71" s="1">
        <v>0.52</v>
      </c>
      <c r="F71">
        <v>15</v>
      </c>
      <c r="G71" s="4">
        <v>2.7</v>
      </c>
      <c r="H71" t="str">
        <f t="shared" si="7"/>
        <v>Excellent</v>
      </c>
      <c r="I71" t="str">
        <f t="shared" si="8"/>
        <v>High Discount</v>
      </c>
    </row>
    <row r="72" spans="1:9" x14ac:dyDescent="0.35">
      <c r="A72" t="s">
        <v>316</v>
      </c>
      <c r="B72" s="4">
        <v>199</v>
      </c>
      <c r="C72" s="4">
        <v>553</v>
      </c>
      <c r="D72" s="4">
        <f t="shared" si="6"/>
        <v>354</v>
      </c>
      <c r="E72" s="1">
        <v>0.64</v>
      </c>
      <c r="F72">
        <v>0</v>
      </c>
      <c r="G72">
        <v>0</v>
      </c>
      <c r="H72" t="str">
        <f t="shared" si="7"/>
        <v>poor</v>
      </c>
      <c r="I72" t="str">
        <f t="shared" si="8"/>
        <v>High Discount</v>
      </c>
    </row>
    <row r="73" spans="1:9" x14ac:dyDescent="0.35">
      <c r="A73" t="s">
        <v>56</v>
      </c>
      <c r="B73" s="4">
        <v>332</v>
      </c>
      <c r="C73" s="4">
        <v>684</v>
      </c>
      <c r="D73" s="4">
        <f t="shared" si="6"/>
        <v>352</v>
      </c>
      <c r="E73" s="1">
        <v>0.51</v>
      </c>
      <c r="F73">
        <v>2</v>
      </c>
      <c r="G73" s="4">
        <v>5</v>
      </c>
      <c r="H73" t="str">
        <f t="shared" si="7"/>
        <v>poor</v>
      </c>
      <c r="I73" t="str">
        <f t="shared" si="8"/>
        <v>High Discount</v>
      </c>
    </row>
    <row r="74" spans="1:9" x14ac:dyDescent="0.35">
      <c r="A74" t="s">
        <v>202</v>
      </c>
      <c r="B74" s="4">
        <v>1220</v>
      </c>
      <c r="C74" s="4">
        <v>1555</v>
      </c>
      <c r="D74" s="4">
        <f t="shared" si="6"/>
        <v>335</v>
      </c>
      <c r="E74" s="1">
        <v>0.22</v>
      </c>
      <c r="F74">
        <v>16</v>
      </c>
      <c r="G74" s="4">
        <v>2.9</v>
      </c>
      <c r="H74" t="str">
        <f t="shared" si="7"/>
        <v>Excellent</v>
      </c>
      <c r="I74" t="str">
        <f t="shared" si="8"/>
        <v>Medium Discount</v>
      </c>
    </row>
    <row r="75" spans="1:9" x14ac:dyDescent="0.35">
      <c r="A75" t="s">
        <v>182</v>
      </c>
      <c r="B75" s="4">
        <v>2170</v>
      </c>
      <c r="C75" s="4">
        <v>2500</v>
      </c>
      <c r="D75" s="4">
        <f t="shared" si="6"/>
        <v>330</v>
      </c>
      <c r="E75" s="1">
        <v>0.13</v>
      </c>
      <c r="F75">
        <v>6</v>
      </c>
      <c r="G75" s="4">
        <v>2.5</v>
      </c>
      <c r="H75" t="str">
        <f t="shared" si="7"/>
        <v>Excellent</v>
      </c>
      <c r="I75" t="str">
        <f t="shared" si="8"/>
        <v>Low Discount</v>
      </c>
    </row>
    <row r="76" spans="1:9" x14ac:dyDescent="0.35">
      <c r="A76" t="s">
        <v>215</v>
      </c>
      <c r="B76" s="4">
        <v>382</v>
      </c>
      <c r="C76" s="4">
        <v>700</v>
      </c>
      <c r="D76" s="4">
        <f t="shared" si="6"/>
        <v>318</v>
      </c>
      <c r="E76" s="1">
        <v>0.45</v>
      </c>
      <c r="F76">
        <v>17</v>
      </c>
      <c r="G76" s="4">
        <v>2.6</v>
      </c>
      <c r="H76" t="str">
        <f t="shared" si="7"/>
        <v>Excellent</v>
      </c>
      <c r="I76" t="str">
        <f t="shared" si="8"/>
        <v>High Discount</v>
      </c>
    </row>
    <row r="77" spans="1:9" x14ac:dyDescent="0.35">
      <c r="A77" t="s">
        <v>253</v>
      </c>
      <c r="B77" s="4">
        <v>330</v>
      </c>
      <c r="C77" s="4">
        <v>647</v>
      </c>
      <c r="D77" s="4">
        <f t="shared" si="6"/>
        <v>317</v>
      </c>
      <c r="E77" s="1">
        <v>0.49</v>
      </c>
      <c r="F77">
        <v>1</v>
      </c>
      <c r="G77" s="4">
        <v>4</v>
      </c>
      <c r="H77" t="str">
        <f t="shared" si="7"/>
        <v>poor</v>
      </c>
      <c r="I77" t="str">
        <f t="shared" si="8"/>
        <v>High Discount</v>
      </c>
    </row>
    <row r="78" spans="1:9" x14ac:dyDescent="0.35">
      <c r="A78" t="s">
        <v>154</v>
      </c>
      <c r="B78" s="4">
        <v>199</v>
      </c>
      <c r="C78" s="4">
        <v>504</v>
      </c>
      <c r="D78" s="4">
        <f t="shared" si="6"/>
        <v>305</v>
      </c>
      <c r="E78" s="1">
        <v>0.61</v>
      </c>
      <c r="F78">
        <v>0</v>
      </c>
      <c r="G78">
        <v>0</v>
      </c>
      <c r="H78" t="str">
        <f t="shared" si="7"/>
        <v>poor</v>
      </c>
      <c r="I78" t="str">
        <f t="shared" si="8"/>
        <v>High Discount</v>
      </c>
    </row>
    <row r="79" spans="1:9" x14ac:dyDescent="0.35">
      <c r="A79" t="s">
        <v>157</v>
      </c>
      <c r="B79" s="4">
        <v>299</v>
      </c>
      <c r="C79" s="4">
        <v>600</v>
      </c>
      <c r="D79" s="4">
        <f t="shared" si="6"/>
        <v>301</v>
      </c>
      <c r="E79" s="1">
        <v>0.5</v>
      </c>
      <c r="F79">
        <v>0</v>
      </c>
      <c r="G79">
        <v>0</v>
      </c>
      <c r="H79" t="str">
        <f t="shared" si="7"/>
        <v>poor</v>
      </c>
      <c r="I79" t="str">
        <f t="shared" si="8"/>
        <v>High Discount</v>
      </c>
    </row>
    <row r="80" spans="1:9" x14ac:dyDescent="0.35">
      <c r="A80" t="s">
        <v>26</v>
      </c>
      <c r="B80" s="4">
        <v>2999</v>
      </c>
      <c r="C80" s="4">
        <v>3290</v>
      </c>
      <c r="D80" s="4">
        <f t="shared" si="6"/>
        <v>291</v>
      </c>
      <c r="E80" s="1">
        <v>0.09</v>
      </c>
      <c r="F80">
        <v>15</v>
      </c>
      <c r="G80" s="4">
        <v>4</v>
      </c>
      <c r="H80" t="str">
        <f t="shared" si="7"/>
        <v>Excellent</v>
      </c>
      <c r="I80" t="str">
        <f t="shared" si="8"/>
        <v>Low Discount</v>
      </c>
    </row>
    <row r="81" spans="1:9" x14ac:dyDescent="0.35">
      <c r="A81" t="s">
        <v>122</v>
      </c>
      <c r="B81" s="4">
        <v>389</v>
      </c>
      <c r="C81" s="4">
        <v>656</v>
      </c>
      <c r="D81" s="4">
        <f t="shared" si="6"/>
        <v>267</v>
      </c>
      <c r="E81" s="1">
        <v>0.41</v>
      </c>
      <c r="F81">
        <v>36</v>
      </c>
      <c r="G81" s="4">
        <v>4.3</v>
      </c>
      <c r="H81" t="str">
        <f t="shared" si="7"/>
        <v>Excellent</v>
      </c>
      <c r="I81" t="str">
        <f t="shared" si="8"/>
        <v>High Discount</v>
      </c>
    </row>
    <row r="82" spans="1:9" x14ac:dyDescent="0.35">
      <c r="A82" t="s">
        <v>258</v>
      </c>
      <c r="B82" s="4">
        <v>274</v>
      </c>
      <c r="C82" s="4">
        <v>537</v>
      </c>
      <c r="D82" s="4">
        <f t="shared" si="6"/>
        <v>263</v>
      </c>
      <c r="E82" s="1">
        <v>0.49</v>
      </c>
      <c r="F82">
        <v>0</v>
      </c>
      <c r="G82">
        <v>0</v>
      </c>
      <c r="H82" t="str">
        <f t="shared" si="7"/>
        <v>poor</v>
      </c>
      <c r="I82" t="str">
        <f t="shared" si="8"/>
        <v>High Discount</v>
      </c>
    </row>
    <row r="83" spans="1:9" x14ac:dyDescent="0.35">
      <c r="A83" t="s">
        <v>221</v>
      </c>
      <c r="B83" s="4">
        <v>345</v>
      </c>
      <c r="C83" s="4">
        <v>602</v>
      </c>
      <c r="D83" s="4">
        <f t="shared" si="6"/>
        <v>257</v>
      </c>
      <c r="E83" s="1">
        <v>0.43</v>
      </c>
      <c r="F83">
        <v>6</v>
      </c>
      <c r="G83" s="4">
        <v>2.2999999999999998</v>
      </c>
      <c r="H83" t="str">
        <f t="shared" si="7"/>
        <v>Excellent</v>
      </c>
      <c r="I83" t="str">
        <f t="shared" si="8"/>
        <v>High Discount</v>
      </c>
    </row>
    <row r="84" spans="1:9" x14ac:dyDescent="0.35">
      <c r="A84" t="s">
        <v>134</v>
      </c>
      <c r="B84" s="4">
        <v>238</v>
      </c>
      <c r="C84" s="4">
        <v>476</v>
      </c>
      <c r="D84" s="4">
        <f t="shared" si="6"/>
        <v>238</v>
      </c>
      <c r="E84" s="1">
        <v>0.5</v>
      </c>
      <c r="F84">
        <v>0</v>
      </c>
      <c r="G84">
        <v>0</v>
      </c>
      <c r="H84" t="str">
        <f t="shared" si="7"/>
        <v>poor</v>
      </c>
      <c r="I84" t="str">
        <f t="shared" si="8"/>
        <v>High Discount</v>
      </c>
    </row>
    <row r="85" spans="1:9" x14ac:dyDescent="0.35">
      <c r="A85" t="s">
        <v>284</v>
      </c>
      <c r="B85" s="4">
        <v>248</v>
      </c>
      <c r="C85" s="4">
        <v>486</v>
      </c>
      <c r="D85" s="4">
        <f t="shared" si="6"/>
        <v>238</v>
      </c>
      <c r="E85" s="1">
        <v>0.49</v>
      </c>
      <c r="F85">
        <v>0</v>
      </c>
      <c r="G85">
        <v>0</v>
      </c>
      <c r="H85" t="str">
        <f t="shared" si="7"/>
        <v>poor</v>
      </c>
      <c r="I85" t="str">
        <f t="shared" si="8"/>
        <v>High Discount</v>
      </c>
    </row>
    <row r="86" spans="1:9" x14ac:dyDescent="0.35">
      <c r="A86" t="s">
        <v>256</v>
      </c>
      <c r="B86" s="4">
        <v>1466</v>
      </c>
      <c r="C86" s="4">
        <v>1699</v>
      </c>
      <c r="D86" s="4">
        <f t="shared" si="6"/>
        <v>233</v>
      </c>
      <c r="E86" s="1">
        <v>0.14000000000000001</v>
      </c>
      <c r="F86">
        <v>0</v>
      </c>
      <c r="G86">
        <v>0</v>
      </c>
      <c r="H86" t="str">
        <f t="shared" si="7"/>
        <v>poor</v>
      </c>
      <c r="I86" t="str">
        <f t="shared" si="8"/>
        <v>Low Discount</v>
      </c>
    </row>
    <row r="87" spans="1:9" x14ac:dyDescent="0.35">
      <c r="A87" t="s">
        <v>264</v>
      </c>
      <c r="B87" s="4">
        <v>1468</v>
      </c>
      <c r="C87" s="4">
        <v>1699</v>
      </c>
      <c r="D87" s="4">
        <f t="shared" si="6"/>
        <v>231</v>
      </c>
      <c r="E87" s="1">
        <v>0.14000000000000001</v>
      </c>
      <c r="F87">
        <v>0</v>
      </c>
      <c r="G87">
        <v>0</v>
      </c>
      <c r="H87" t="str">
        <f t="shared" si="7"/>
        <v>poor</v>
      </c>
      <c r="I87" t="str">
        <f t="shared" si="8"/>
        <v>Low Discount</v>
      </c>
    </row>
    <row r="88" spans="1:9" x14ac:dyDescent="0.35">
      <c r="A88" t="s">
        <v>89</v>
      </c>
      <c r="B88" s="4">
        <v>420</v>
      </c>
      <c r="C88" s="4">
        <v>647</v>
      </c>
      <c r="D88" s="4">
        <f t="shared" si="6"/>
        <v>227</v>
      </c>
      <c r="E88" s="1">
        <v>0.35</v>
      </c>
      <c r="F88">
        <v>49</v>
      </c>
      <c r="G88" s="4">
        <v>4.5999999999999996</v>
      </c>
      <c r="H88" t="str">
        <f t="shared" si="7"/>
        <v>Excellent</v>
      </c>
      <c r="I88" t="str">
        <f t="shared" si="8"/>
        <v>Medium Discount</v>
      </c>
    </row>
    <row r="89" spans="1:9" x14ac:dyDescent="0.35">
      <c r="A89" t="s">
        <v>240</v>
      </c>
      <c r="B89" s="4">
        <v>230</v>
      </c>
      <c r="C89" s="4">
        <v>450</v>
      </c>
      <c r="D89" s="4">
        <f t="shared" si="6"/>
        <v>220</v>
      </c>
      <c r="E89" s="1">
        <v>0.49</v>
      </c>
      <c r="F89">
        <v>0</v>
      </c>
      <c r="G89">
        <v>0</v>
      </c>
      <c r="H89" t="str">
        <f t="shared" si="7"/>
        <v>poor</v>
      </c>
      <c r="I89" t="str">
        <f t="shared" si="8"/>
        <v>High Discount</v>
      </c>
    </row>
    <row r="90" spans="1:9" x14ac:dyDescent="0.35">
      <c r="A90" t="s">
        <v>42</v>
      </c>
      <c r="B90" s="4">
        <v>799</v>
      </c>
      <c r="C90" s="4">
        <v>999</v>
      </c>
      <c r="D90" s="4">
        <f t="shared" si="6"/>
        <v>200</v>
      </c>
      <c r="E90" s="1">
        <v>0.2</v>
      </c>
      <c r="F90">
        <v>12</v>
      </c>
      <c r="G90" s="4">
        <v>4.0999999999999996</v>
      </c>
      <c r="H90" t="str">
        <f t="shared" si="7"/>
        <v>Excellent</v>
      </c>
      <c r="I90" t="str">
        <f t="shared" si="8"/>
        <v>Medium Discount</v>
      </c>
    </row>
    <row r="91" spans="1:9" x14ac:dyDescent="0.35">
      <c r="A91" t="s">
        <v>102</v>
      </c>
      <c r="B91" s="4">
        <v>185</v>
      </c>
      <c r="C91" s="4">
        <v>382</v>
      </c>
      <c r="D91" s="4">
        <f t="shared" si="6"/>
        <v>197</v>
      </c>
      <c r="E91" s="1">
        <v>0.52</v>
      </c>
      <c r="F91">
        <v>9</v>
      </c>
      <c r="G91" s="4">
        <v>4.3</v>
      </c>
      <c r="H91" t="str">
        <f t="shared" si="7"/>
        <v>Excellent</v>
      </c>
      <c r="I91" t="str">
        <f t="shared" si="8"/>
        <v>High Discount</v>
      </c>
    </row>
    <row r="92" spans="1:9" x14ac:dyDescent="0.35">
      <c r="A92" t="s">
        <v>120</v>
      </c>
      <c r="B92" s="4">
        <v>171</v>
      </c>
      <c r="C92" s="4">
        <v>360</v>
      </c>
      <c r="D92" s="4">
        <f t="shared" si="6"/>
        <v>189</v>
      </c>
      <c r="E92" s="1">
        <v>0.53</v>
      </c>
      <c r="F92">
        <v>2</v>
      </c>
      <c r="G92" s="4">
        <v>5</v>
      </c>
      <c r="H92" t="str">
        <f t="shared" si="7"/>
        <v>poor</v>
      </c>
      <c r="I92" t="str">
        <f t="shared" si="8"/>
        <v>High Discount</v>
      </c>
    </row>
    <row r="93" spans="1:9" x14ac:dyDescent="0.35">
      <c r="A93" t="s">
        <v>60</v>
      </c>
      <c r="B93" s="4">
        <v>195</v>
      </c>
      <c r="C93" s="4">
        <v>360</v>
      </c>
      <c r="D93" s="4">
        <f t="shared" si="6"/>
        <v>165</v>
      </c>
      <c r="E93" s="1">
        <v>0.46</v>
      </c>
      <c r="F93">
        <v>2</v>
      </c>
      <c r="G93" s="4">
        <v>5</v>
      </c>
      <c r="H93" t="str">
        <f t="shared" si="7"/>
        <v>poor</v>
      </c>
      <c r="I93" t="str">
        <f t="shared" si="8"/>
        <v>High Discount</v>
      </c>
    </row>
    <row r="94" spans="1:9" x14ac:dyDescent="0.35">
      <c r="A94" t="s">
        <v>287</v>
      </c>
      <c r="B94" s="4">
        <v>3546</v>
      </c>
      <c r="C94" s="4">
        <v>3699</v>
      </c>
      <c r="D94" s="4">
        <f t="shared" si="6"/>
        <v>153</v>
      </c>
      <c r="E94" s="1">
        <v>0.04</v>
      </c>
      <c r="F94">
        <v>0</v>
      </c>
      <c r="G94">
        <v>0</v>
      </c>
      <c r="H94" t="str">
        <f t="shared" si="7"/>
        <v>poor</v>
      </c>
      <c r="I94" t="str">
        <f t="shared" si="8"/>
        <v>Low Discount</v>
      </c>
    </row>
    <row r="95" spans="1:9" x14ac:dyDescent="0.35">
      <c r="A95" t="s">
        <v>320</v>
      </c>
      <c r="B95" s="4">
        <v>169</v>
      </c>
      <c r="C95" s="4">
        <v>320</v>
      </c>
      <c r="D95" s="4">
        <f t="shared" si="6"/>
        <v>151</v>
      </c>
      <c r="E95" s="1">
        <v>0.47</v>
      </c>
      <c r="F95">
        <v>0</v>
      </c>
      <c r="G95">
        <v>0</v>
      </c>
      <c r="H95" t="str">
        <f t="shared" si="7"/>
        <v>poor</v>
      </c>
      <c r="I95" t="str">
        <f t="shared" si="8"/>
        <v>High Discount</v>
      </c>
    </row>
    <row r="96" spans="1:9" x14ac:dyDescent="0.35">
      <c r="A96" t="s">
        <v>280</v>
      </c>
      <c r="B96" s="4">
        <v>1526</v>
      </c>
      <c r="C96" s="4">
        <v>1660</v>
      </c>
      <c r="D96" s="4">
        <f t="shared" si="6"/>
        <v>134</v>
      </c>
      <c r="E96" s="1">
        <v>0.08</v>
      </c>
      <c r="F96">
        <v>0</v>
      </c>
      <c r="G96">
        <v>0</v>
      </c>
      <c r="H96" t="str">
        <f t="shared" si="7"/>
        <v>poor</v>
      </c>
      <c r="I96" t="str">
        <f t="shared" si="8"/>
        <v>Low Discount</v>
      </c>
    </row>
    <row r="97" spans="1:9" x14ac:dyDescent="0.35">
      <c r="A97" t="s">
        <v>261</v>
      </c>
      <c r="B97" s="4">
        <v>799</v>
      </c>
      <c r="C97" s="4">
        <v>900</v>
      </c>
      <c r="D97" s="4">
        <f t="shared" si="6"/>
        <v>101</v>
      </c>
      <c r="E97" s="1">
        <v>0.11</v>
      </c>
      <c r="F97">
        <v>0</v>
      </c>
      <c r="G97">
        <v>0</v>
      </c>
      <c r="H97" t="str">
        <f t="shared" si="7"/>
        <v>poor</v>
      </c>
      <c r="I97" t="str">
        <f t="shared" si="8"/>
        <v>Low Discount</v>
      </c>
    </row>
    <row r="98" spans="1:9" x14ac:dyDescent="0.35">
      <c r="A98" t="s">
        <v>274</v>
      </c>
      <c r="B98" s="4">
        <v>105</v>
      </c>
      <c r="C98" s="4">
        <v>200</v>
      </c>
      <c r="D98" s="4">
        <f t="shared" ref="D98:D110" si="9">C98-B98</f>
        <v>95</v>
      </c>
      <c r="E98" s="1">
        <v>0.48</v>
      </c>
      <c r="F98">
        <v>0</v>
      </c>
      <c r="G98">
        <v>0</v>
      </c>
      <c r="H98" t="str">
        <f t="shared" ref="H98:H110" si="10">IF(F98&lt;3,"poor",IF(F98&lt;=4.4,"Average",IF(F98&gt;=4.5,"Excellent")))</f>
        <v>poor</v>
      </c>
      <c r="I98" t="str">
        <f t="shared" ref="I98:I110" si="11">IF(E98&lt;20%,"Low Discount",IF(E98&lt;=40%,"Medium Discount",IF(E98&gt;40%,"High Discount")))</f>
        <v>High Discount</v>
      </c>
    </row>
    <row r="99" spans="1:9" x14ac:dyDescent="0.35">
      <c r="A99" t="s">
        <v>163</v>
      </c>
      <c r="B99" s="4">
        <v>299</v>
      </c>
      <c r="C99" s="4">
        <v>384</v>
      </c>
      <c r="D99" s="4">
        <f t="shared" si="9"/>
        <v>85</v>
      </c>
      <c r="E99" s="1">
        <v>0.22</v>
      </c>
      <c r="F99">
        <v>0</v>
      </c>
      <c r="G99">
        <v>0</v>
      </c>
      <c r="H99" t="str">
        <f t="shared" si="10"/>
        <v>poor</v>
      </c>
      <c r="I99" t="str">
        <f t="shared" si="11"/>
        <v>Medium Discount</v>
      </c>
    </row>
    <row r="100" spans="1:9" x14ac:dyDescent="0.35">
      <c r="A100" t="s">
        <v>237</v>
      </c>
      <c r="B100" s="4">
        <v>1732</v>
      </c>
      <c r="C100" s="4">
        <v>1799</v>
      </c>
      <c r="D100" s="4">
        <f t="shared" si="9"/>
        <v>67</v>
      </c>
      <c r="E100" s="1">
        <v>0.04</v>
      </c>
      <c r="F100">
        <v>0</v>
      </c>
      <c r="G100">
        <v>0</v>
      </c>
      <c r="H100" t="str">
        <f t="shared" si="10"/>
        <v>poor</v>
      </c>
      <c r="I100" t="str">
        <f t="shared" si="11"/>
        <v>Low Discount</v>
      </c>
    </row>
    <row r="101" spans="1:9" x14ac:dyDescent="0.35">
      <c r="A101" t="s">
        <v>304</v>
      </c>
      <c r="B101" s="4">
        <v>198</v>
      </c>
      <c r="C101" s="4">
        <v>260</v>
      </c>
      <c r="D101" s="4">
        <f t="shared" si="9"/>
        <v>62</v>
      </c>
      <c r="E101" s="1">
        <v>0.24</v>
      </c>
      <c r="F101">
        <v>0</v>
      </c>
      <c r="G101">
        <v>0</v>
      </c>
      <c r="H101" t="str">
        <f t="shared" si="10"/>
        <v>poor</v>
      </c>
      <c r="I101" t="str">
        <f t="shared" si="11"/>
        <v>Medium Discount</v>
      </c>
    </row>
    <row r="102" spans="1:9" x14ac:dyDescent="0.35">
      <c r="A102" t="s">
        <v>71</v>
      </c>
      <c r="B102" s="4">
        <v>38</v>
      </c>
      <c r="C102" s="4">
        <v>80</v>
      </c>
      <c r="D102" s="4">
        <f t="shared" si="9"/>
        <v>42</v>
      </c>
      <c r="E102" s="1">
        <v>0.53</v>
      </c>
      <c r="F102">
        <v>13</v>
      </c>
      <c r="G102" s="4">
        <v>3.3</v>
      </c>
      <c r="H102" t="str">
        <f t="shared" si="10"/>
        <v>Excellent</v>
      </c>
      <c r="I102" t="str">
        <f t="shared" si="11"/>
        <v>High Discount</v>
      </c>
    </row>
    <row r="103" spans="1:9" x14ac:dyDescent="0.35">
      <c r="A103" t="s">
        <v>312</v>
      </c>
      <c r="B103" s="4">
        <v>1658</v>
      </c>
      <c r="C103" s="4">
        <v>1699</v>
      </c>
      <c r="D103" s="4">
        <f t="shared" si="9"/>
        <v>41</v>
      </c>
      <c r="E103" s="1">
        <v>0.02</v>
      </c>
      <c r="F103">
        <v>0</v>
      </c>
      <c r="G103">
        <v>0</v>
      </c>
      <c r="H103" t="str">
        <f t="shared" si="10"/>
        <v>poor</v>
      </c>
      <c r="I103" t="str">
        <f t="shared" si="11"/>
        <v>Low Discount</v>
      </c>
    </row>
    <row r="104" spans="1:9" x14ac:dyDescent="0.35">
      <c r="A104" t="s">
        <v>165</v>
      </c>
      <c r="B104" s="4">
        <v>1459</v>
      </c>
      <c r="C104" s="4">
        <v>1499</v>
      </c>
      <c r="D104" s="4">
        <f t="shared" si="9"/>
        <v>40</v>
      </c>
      <c r="E104" s="1">
        <v>0.03</v>
      </c>
      <c r="F104">
        <v>0</v>
      </c>
      <c r="G104">
        <v>0</v>
      </c>
      <c r="H104" t="str">
        <f t="shared" si="10"/>
        <v>poor</v>
      </c>
      <c r="I104" t="str">
        <f t="shared" si="11"/>
        <v>Low Discount</v>
      </c>
    </row>
    <row r="105" spans="1:9" x14ac:dyDescent="0.35">
      <c r="A105" t="s">
        <v>160</v>
      </c>
      <c r="B105" s="4">
        <v>1660</v>
      </c>
      <c r="C105" s="4">
        <v>1699</v>
      </c>
      <c r="D105" s="4">
        <f t="shared" si="9"/>
        <v>39</v>
      </c>
      <c r="E105" s="1">
        <v>0.02</v>
      </c>
      <c r="F105">
        <v>0</v>
      </c>
      <c r="G105">
        <v>0</v>
      </c>
      <c r="H105" t="str">
        <f t="shared" si="10"/>
        <v>poor</v>
      </c>
      <c r="I105" t="str">
        <f t="shared" si="11"/>
        <v>Low Discount</v>
      </c>
    </row>
    <row r="106" spans="1:9" x14ac:dyDescent="0.35">
      <c r="A106" t="s">
        <v>140</v>
      </c>
      <c r="B106" s="4">
        <v>2132</v>
      </c>
      <c r="C106" s="4">
        <v>2169</v>
      </c>
      <c r="D106" s="4">
        <f t="shared" si="9"/>
        <v>37</v>
      </c>
      <c r="E106" s="1">
        <v>0.02</v>
      </c>
      <c r="F106">
        <v>0</v>
      </c>
      <c r="G106">
        <v>0</v>
      </c>
      <c r="H106" t="str">
        <f t="shared" si="10"/>
        <v>poor</v>
      </c>
      <c r="I106" t="str">
        <f t="shared" si="11"/>
        <v>Low Discount</v>
      </c>
    </row>
    <row r="107" spans="1:9" x14ac:dyDescent="0.35">
      <c r="A107" t="s">
        <v>282</v>
      </c>
      <c r="B107" s="4">
        <v>1462</v>
      </c>
      <c r="C107" s="4">
        <v>1499</v>
      </c>
      <c r="D107" s="4">
        <f t="shared" si="9"/>
        <v>37</v>
      </c>
      <c r="E107" s="1">
        <v>0.02</v>
      </c>
      <c r="F107">
        <v>0</v>
      </c>
      <c r="G107">
        <v>0</v>
      </c>
      <c r="H107" t="str">
        <f t="shared" si="10"/>
        <v>poor</v>
      </c>
      <c r="I107" t="str">
        <f t="shared" si="11"/>
        <v>Low Discount</v>
      </c>
    </row>
    <row r="108" spans="1:9" x14ac:dyDescent="0.35">
      <c r="A108" t="s">
        <v>251</v>
      </c>
      <c r="B108" s="4">
        <v>1666</v>
      </c>
      <c r="C108" s="4">
        <v>1699</v>
      </c>
      <c r="D108" s="4">
        <f t="shared" si="9"/>
        <v>33</v>
      </c>
      <c r="E108" s="1">
        <v>0.02</v>
      </c>
      <c r="F108">
        <v>0</v>
      </c>
      <c r="G108">
        <v>0</v>
      </c>
      <c r="H108" t="str">
        <f t="shared" si="10"/>
        <v>poor</v>
      </c>
      <c r="I108" t="str">
        <f t="shared" si="11"/>
        <v>Low Discount</v>
      </c>
    </row>
    <row r="109" spans="1:9" x14ac:dyDescent="0.35">
      <c r="A109" t="s">
        <v>314</v>
      </c>
      <c r="B109" s="4">
        <v>1768</v>
      </c>
      <c r="C109" s="4">
        <v>1799</v>
      </c>
      <c r="D109" s="4">
        <f t="shared" si="9"/>
        <v>31</v>
      </c>
      <c r="E109" s="1">
        <v>0.02</v>
      </c>
      <c r="F109">
        <v>0</v>
      </c>
      <c r="G109">
        <v>0</v>
      </c>
      <c r="H109" t="str">
        <f t="shared" si="10"/>
        <v>poor</v>
      </c>
      <c r="I109" t="str">
        <f t="shared" si="11"/>
        <v>Low Discount</v>
      </c>
    </row>
    <row r="110" spans="1:9" x14ac:dyDescent="0.35">
      <c r="A110" t="s">
        <v>301</v>
      </c>
      <c r="B110" s="4">
        <v>1875</v>
      </c>
      <c r="C110" s="4">
        <v>1899</v>
      </c>
      <c r="D110" s="4">
        <f t="shared" si="9"/>
        <v>24</v>
      </c>
      <c r="E110" s="1">
        <v>0.01</v>
      </c>
      <c r="F110">
        <v>0</v>
      </c>
      <c r="G110">
        <v>0</v>
      </c>
      <c r="H110" t="str">
        <f t="shared" si="10"/>
        <v>poor</v>
      </c>
      <c r="I110" t="str">
        <f t="shared" si="11"/>
        <v>Low Discount</v>
      </c>
    </row>
  </sheetData>
  <conditionalFormatting sqref="A1:A110 A117:A1048576">
    <cfRule type="duplicateValues" dxfId="1" priority="2"/>
  </conditionalFormatting>
  <conditionalFormatting sqref="A1:A1048576">
    <cfRule type="duplicateValues" dxfId="0" priority="1"/>
  </conditionalFormatting>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B5C97-3200-4B97-B522-F8D0800E1F10}">
  <dimension ref="A1"/>
  <sheetViews>
    <sheetView showGridLines="0" tabSelected="1" view="pageBreakPreview" zoomScaleNormal="100" zoomScaleSheetLayoutView="100" workbookViewId="0">
      <selection activeCell="R6" sqref="R6"/>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ORIGINAL DATA</vt:lpstr>
      <vt:lpstr>WORKING</vt:lpstr>
      <vt:lpstr>Sheet2</vt:lpstr>
      <vt:lpstr>Descriptive Analysis</vt:lpstr>
      <vt:lpstr>Sheet4</vt:lpstr>
      <vt:lpstr>Sheet6</vt:lpstr>
      <vt:lpstr>Sheet8</vt:lpstr>
      <vt:lpstr>Sheet7</vt:lpstr>
      <vt:lpstr>WORKING (2)</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David_Githiomi</dc:creator>
  <cp:lastModifiedBy>David Githiomi</cp:lastModifiedBy>
  <dcterms:created xsi:type="dcterms:W3CDTF">2026-03-22T18:45:51Z</dcterms:created>
  <dcterms:modified xsi:type="dcterms:W3CDTF">2026-03-29T16:03:41Z</dcterms:modified>
</cp:coreProperties>
</file>